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725" windowHeight="9480"/>
  </bookViews>
  <sheets>
    <sheet name="策划表" sheetId="1" r:id="rId1"/>
    <sheet name="最终表" sheetId="2" r:id="rId2"/>
    <sheet name="语言表" sheetId="3" r:id="rId3"/>
  </sheets>
  <calcPr calcId="145621"/>
</workbook>
</file>

<file path=xl/calcChain.xml><?xml version="1.0" encoding="utf-8"?>
<calcChain xmlns="http://schemas.openxmlformats.org/spreadsheetml/2006/main">
  <c r="B5" i="3" l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F40" i="3"/>
  <c r="G40" i="3"/>
  <c r="F41" i="3"/>
  <c r="G41" i="3"/>
  <c r="F42" i="3"/>
  <c r="G42" i="3"/>
  <c r="F43" i="3"/>
  <c r="G43" i="3"/>
  <c r="F44" i="3"/>
  <c r="G44" i="3"/>
  <c r="F45" i="3"/>
  <c r="G45" i="3"/>
  <c r="F46" i="3"/>
  <c r="G46" i="3"/>
  <c r="F47" i="3"/>
  <c r="G47" i="3"/>
  <c r="F48" i="3"/>
  <c r="G48" i="3"/>
  <c r="F49" i="3"/>
  <c r="G49" i="3"/>
  <c r="F50" i="3"/>
  <c r="G50" i="3"/>
  <c r="F51" i="3"/>
  <c r="G51" i="3"/>
  <c r="F52" i="3"/>
  <c r="G52" i="3"/>
  <c r="F53" i="3"/>
  <c r="G53" i="3"/>
  <c r="F54" i="3"/>
  <c r="G54" i="3"/>
  <c r="F55" i="3"/>
  <c r="G55" i="3"/>
  <c r="F56" i="3"/>
  <c r="G56" i="3"/>
  <c r="F57" i="3"/>
  <c r="G57" i="3"/>
  <c r="F58" i="3"/>
  <c r="G58" i="3"/>
  <c r="F59" i="3"/>
  <c r="G59" i="3"/>
  <c r="F60" i="3"/>
  <c r="G60" i="3"/>
  <c r="F61" i="3"/>
  <c r="G61" i="3"/>
  <c r="F62" i="3"/>
  <c r="G62" i="3"/>
  <c r="F63" i="3"/>
  <c r="G63" i="3"/>
  <c r="F64" i="3"/>
  <c r="G64" i="3"/>
  <c r="F65" i="3"/>
  <c r="G65" i="3"/>
  <c r="F66" i="3"/>
  <c r="G66" i="3"/>
  <c r="F67" i="3"/>
  <c r="G67" i="3"/>
  <c r="F68" i="3"/>
  <c r="G68" i="3"/>
  <c r="F69" i="3"/>
  <c r="G69" i="3"/>
  <c r="F70" i="3"/>
  <c r="G70" i="3"/>
  <c r="F71" i="3"/>
  <c r="G71" i="3"/>
  <c r="F72" i="3"/>
  <c r="G72" i="3"/>
  <c r="F73" i="3"/>
  <c r="G73" i="3"/>
  <c r="F74" i="3"/>
  <c r="G74" i="3"/>
  <c r="F75" i="3"/>
  <c r="G75" i="3"/>
  <c r="F76" i="3"/>
  <c r="G76" i="3"/>
  <c r="F77" i="3"/>
  <c r="G77" i="3"/>
  <c r="F78" i="3"/>
  <c r="G78" i="3"/>
  <c r="F79" i="3"/>
  <c r="G79" i="3"/>
  <c r="F80" i="3"/>
  <c r="G80" i="3"/>
  <c r="F81" i="3"/>
  <c r="G81" i="3"/>
  <c r="F82" i="3"/>
  <c r="G82" i="3"/>
  <c r="F83" i="3"/>
  <c r="G83" i="3"/>
  <c r="F84" i="3"/>
  <c r="G84" i="3"/>
  <c r="F85" i="3"/>
  <c r="G85" i="3"/>
  <c r="F86" i="3"/>
  <c r="G86" i="3"/>
  <c r="F87" i="3"/>
  <c r="G87" i="3"/>
  <c r="F88" i="3"/>
  <c r="G88" i="3"/>
  <c r="F89" i="3"/>
  <c r="G89" i="3"/>
  <c r="F90" i="3"/>
  <c r="G90" i="3"/>
  <c r="F91" i="3"/>
  <c r="G91" i="3"/>
  <c r="F92" i="3"/>
  <c r="G92" i="3"/>
  <c r="F93" i="3"/>
  <c r="G93" i="3"/>
  <c r="F94" i="3"/>
  <c r="G94" i="3"/>
  <c r="F95" i="3"/>
  <c r="G95" i="3"/>
  <c r="F96" i="3"/>
  <c r="G96" i="3"/>
  <c r="F97" i="3"/>
  <c r="G97" i="3"/>
  <c r="F98" i="3"/>
  <c r="G98" i="3"/>
  <c r="F99" i="3"/>
  <c r="G99" i="3"/>
  <c r="F100" i="3"/>
  <c r="G100" i="3"/>
  <c r="F101" i="3"/>
  <c r="G101" i="3"/>
  <c r="F102" i="3"/>
  <c r="G102" i="3"/>
  <c r="F103" i="3"/>
  <c r="G103" i="3"/>
  <c r="F104" i="3"/>
  <c r="G104" i="3"/>
  <c r="F105" i="3"/>
  <c r="G105" i="3"/>
  <c r="F106" i="3"/>
  <c r="G106" i="3"/>
  <c r="F107" i="3"/>
  <c r="G107" i="3"/>
  <c r="F108" i="3"/>
  <c r="G108" i="3"/>
  <c r="F109" i="3"/>
  <c r="G109" i="3"/>
  <c r="F110" i="3"/>
  <c r="G110" i="3"/>
  <c r="F111" i="3"/>
  <c r="G111" i="3"/>
  <c r="F112" i="3"/>
  <c r="G112" i="3"/>
  <c r="F113" i="3"/>
  <c r="G113" i="3"/>
  <c r="F114" i="3"/>
  <c r="G114" i="3"/>
  <c r="F115" i="3"/>
  <c r="G115" i="3"/>
  <c r="F116" i="3"/>
  <c r="G116" i="3"/>
  <c r="F117" i="3"/>
  <c r="G117" i="3"/>
  <c r="F118" i="3"/>
  <c r="G118" i="3"/>
  <c r="F119" i="3"/>
  <c r="G119" i="3"/>
  <c r="F120" i="3"/>
  <c r="G120" i="3"/>
  <c r="F121" i="3"/>
  <c r="G121" i="3"/>
  <c r="F122" i="3"/>
  <c r="G122" i="3"/>
  <c r="F123" i="3"/>
  <c r="G123" i="3"/>
  <c r="F124" i="3"/>
  <c r="G124" i="3"/>
  <c r="F125" i="3"/>
  <c r="G125" i="3"/>
  <c r="F126" i="3"/>
  <c r="G126" i="3"/>
  <c r="F127" i="3"/>
  <c r="G127" i="3"/>
  <c r="F128" i="3"/>
  <c r="G128" i="3"/>
  <c r="F129" i="3"/>
  <c r="G129" i="3"/>
  <c r="F130" i="3"/>
  <c r="G130" i="3"/>
  <c r="F131" i="3"/>
  <c r="G131" i="3"/>
  <c r="F132" i="3"/>
  <c r="G132" i="3"/>
  <c r="F133" i="3"/>
  <c r="G133" i="3"/>
  <c r="F134" i="3"/>
  <c r="G134" i="3"/>
  <c r="F135" i="3"/>
  <c r="G135" i="3"/>
  <c r="F136" i="3"/>
  <c r="G136" i="3"/>
  <c r="F137" i="3"/>
  <c r="G137" i="3"/>
  <c r="F138" i="3"/>
  <c r="G138" i="3"/>
  <c r="F139" i="3"/>
  <c r="G139" i="3"/>
  <c r="F140" i="3"/>
  <c r="G140" i="3"/>
  <c r="F141" i="3"/>
  <c r="G141" i="3"/>
  <c r="F142" i="3"/>
  <c r="G142" i="3"/>
  <c r="F143" i="3"/>
  <c r="G143" i="3"/>
  <c r="F144" i="3"/>
  <c r="G144" i="3"/>
  <c r="F145" i="3"/>
  <c r="G145" i="3"/>
  <c r="F146" i="3"/>
  <c r="G146" i="3"/>
  <c r="F147" i="3"/>
  <c r="G147" i="3"/>
  <c r="F148" i="3"/>
  <c r="G148" i="3"/>
  <c r="F149" i="3"/>
  <c r="G149" i="3"/>
  <c r="F150" i="3"/>
  <c r="G150" i="3"/>
  <c r="F151" i="3"/>
  <c r="G151" i="3"/>
  <c r="F152" i="3"/>
  <c r="G152" i="3"/>
  <c r="F153" i="3"/>
  <c r="G153" i="3"/>
  <c r="F154" i="3"/>
  <c r="G154" i="3"/>
  <c r="F155" i="3"/>
  <c r="G155" i="3"/>
  <c r="F156" i="3"/>
  <c r="G156" i="3"/>
  <c r="F157" i="3"/>
  <c r="G157" i="3"/>
  <c r="F158" i="3"/>
  <c r="G158" i="3"/>
  <c r="F159" i="3"/>
  <c r="G159" i="3"/>
  <c r="F160" i="3"/>
  <c r="G160" i="3"/>
  <c r="F161" i="3"/>
  <c r="G161" i="3"/>
  <c r="F162" i="3"/>
  <c r="G162" i="3"/>
  <c r="F163" i="3"/>
  <c r="G163" i="3"/>
  <c r="F164" i="3"/>
  <c r="G164" i="3"/>
  <c r="F165" i="3"/>
  <c r="G165" i="3"/>
  <c r="F166" i="3"/>
  <c r="G166" i="3"/>
  <c r="F167" i="3"/>
  <c r="G167" i="3"/>
  <c r="F168" i="3"/>
  <c r="G168" i="3"/>
  <c r="F169" i="3"/>
  <c r="G169" i="3"/>
  <c r="F170" i="3"/>
  <c r="G170" i="3"/>
  <c r="F171" i="3"/>
  <c r="G171" i="3"/>
  <c r="F172" i="3"/>
  <c r="G172" i="3"/>
  <c r="F173" i="3"/>
  <c r="G173" i="3"/>
  <c r="F174" i="3"/>
  <c r="G174" i="3"/>
  <c r="F175" i="3"/>
  <c r="G175" i="3"/>
  <c r="F176" i="3"/>
  <c r="G176" i="3"/>
  <c r="F177" i="3"/>
  <c r="G177" i="3"/>
  <c r="F178" i="3"/>
  <c r="G178" i="3"/>
  <c r="F179" i="3"/>
  <c r="G179" i="3"/>
  <c r="F180" i="3"/>
  <c r="G180" i="3"/>
  <c r="F181" i="3"/>
  <c r="G181" i="3"/>
  <c r="F182" i="3"/>
  <c r="G182" i="3"/>
  <c r="F183" i="3"/>
  <c r="G183" i="3"/>
  <c r="F184" i="3"/>
  <c r="G184" i="3"/>
  <c r="F185" i="3"/>
  <c r="G185" i="3"/>
  <c r="F186" i="3"/>
  <c r="G186" i="3"/>
  <c r="F187" i="3"/>
  <c r="G187" i="3"/>
  <c r="F188" i="3"/>
  <c r="G188" i="3"/>
  <c r="F189" i="3"/>
  <c r="G189" i="3"/>
  <c r="F190" i="3"/>
  <c r="G190" i="3"/>
  <c r="F191" i="3"/>
  <c r="G191" i="3"/>
  <c r="F192" i="3"/>
  <c r="G192" i="3"/>
  <c r="F193" i="3"/>
  <c r="G193" i="3"/>
  <c r="F194" i="3"/>
  <c r="G194" i="3"/>
  <c r="F195" i="3"/>
  <c r="G195" i="3"/>
  <c r="F196" i="3"/>
  <c r="G196" i="3"/>
  <c r="F197" i="3"/>
  <c r="G197" i="3"/>
  <c r="F198" i="3"/>
  <c r="G198" i="3"/>
  <c r="F199" i="3"/>
  <c r="G199" i="3"/>
  <c r="F200" i="3"/>
  <c r="G200" i="3"/>
  <c r="F201" i="3"/>
  <c r="G201" i="3"/>
  <c r="F202" i="3"/>
  <c r="G202" i="3"/>
  <c r="F203" i="3"/>
  <c r="G203" i="3"/>
  <c r="F204" i="3"/>
  <c r="G204" i="3"/>
  <c r="F205" i="3"/>
  <c r="G205" i="3"/>
  <c r="F206" i="3"/>
  <c r="G206" i="3"/>
  <c r="F207" i="3"/>
  <c r="G207" i="3"/>
  <c r="F208" i="3"/>
  <c r="G208" i="3"/>
  <c r="F209" i="3"/>
  <c r="G209" i="3"/>
  <c r="F210" i="3"/>
  <c r="G210" i="3"/>
  <c r="F211" i="3"/>
  <c r="G211" i="3"/>
  <c r="F212" i="3"/>
  <c r="G212" i="3"/>
  <c r="F213" i="3"/>
  <c r="G213" i="3"/>
  <c r="F214" i="3"/>
  <c r="G214" i="3"/>
  <c r="F215" i="3"/>
  <c r="G215" i="3"/>
  <c r="F216" i="3"/>
  <c r="G216" i="3"/>
  <c r="F217" i="3"/>
  <c r="G217" i="3"/>
  <c r="F218" i="3"/>
  <c r="G218" i="3"/>
  <c r="F219" i="3"/>
  <c r="G219" i="3"/>
  <c r="F220" i="3"/>
  <c r="G220" i="3"/>
  <c r="F221" i="3"/>
  <c r="G221" i="3"/>
  <c r="F222" i="3"/>
  <c r="G222" i="3"/>
  <c r="F223" i="3"/>
  <c r="G223" i="3"/>
  <c r="F224" i="3"/>
  <c r="G224" i="3"/>
  <c r="F225" i="3"/>
  <c r="G225" i="3"/>
  <c r="F226" i="3"/>
  <c r="G226" i="3"/>
  <c r="F227" i="3"/>
  <c r="G227" i="3"/>
  <c r="F228" i="3"/>
  <c r="G228" i="3"/>
  <c r="F229" i="3"/>
  <c r="G229" i="3"/>
  <c r="F230" i="3"/>
  <c r="G230" i="3"/>
  <c r="F231" i="3"/>
  <c r="G231" i="3"/>
  <c r="F232" i="3"/>
  <c r="G232" i="3"/>
  <c r="F233" i="3"/>
  <c r="G233" i="3"/>
  <c r="F234" i="3"/>
  <c r="G234" i="3"/>
  <c r="F235" i="3"/>
  <c r="G235" i="3"/>
  <c r="F236" i="3"/>
  <c r="G236" i="3"/>
  <c r="F237" i="3"/>
  <c r="G237" i="3"/>
  <c r="F238" i="3"/>
  <c r="G238" i="3"/>
  <c r="F239" i="3"/>
  <c r="G239" i="3"/>
  <c r="F240" i="3"/>
  <c r="G240" i="3"/>
  <c r="F241" i="3"/>
  <c r="G241" i="3"/>
  <c r="F242" i="3"/>
  <c r="G242" i="3"/>
  <c r="F243" i="3"/>
  <c r="G243" i="3"/>
  <c r="F244" i="3"/>
  <c r="G244" i="3"/>
  <c r="F245" i="3"/>
  <c r="G245" i="3"/>
  <c r="F246" i="3"/>
  <c r="G246" i="3"/>
  <c r="F247" i="3"/>
  <c r="G247" i="3"/>
  <c r="F248" i="3"/>
  <c r="G248" i="3"/>
  <c r="F249" i="3"/>
  <c r="G249" i="3"/>
  <c r="F250" i="3"/>
  <c r="G250" i="3"/>
  <c r="F251" i="3"/>
  <c r="G251" i="3"/>
  <c r="F252" i="3"/>
  <c r="G252" i="3"/>
  <c r="F253" i="3"/>
  <c r="G253" i="3"/>
  <c r="F254" i="3"/>
  <c r="G254" i="3"/>
  <c r="F255" i="3"/>
  <c r="G255" i="3"/>
  <c r="F256" i="3"/>
  <c r="G256" i="3"/>
  <c r="F257" i="3"/>
  <c r="G257" i="3"/>
  <c r="F258" i="3"/>
  <c r="G258" i="3"/>
  <c r="F259" i="3"/>
  <c r="G259" i="3"/>
  <c r="F260" i="3"/>
  <c r="G260" i="3"/>
  <c r="F261" i="3"/>
  <c r="G261" i="3"/>
  <c r="F262" i="3"/>
  <c r="G262" i="3"/>
  <c r="F263" i="3"/>
  <c r="G263" i="3"/>
  <c r="F264" i="3"/>
  <c r="G264" i="3"/>
  <c r="F265" i="3"/>
  <c r="G265" i="3"/>
  <c r="F266" i="3"/>
  <c r="G266" i="3"/>
  <c r="F267" i="3"/>
  <c r="G267" i="3"/>
  <c r="F268" i="3"/>
  <c r="G268" i="3"/>
  <c r="F269" i="3"/>
  <c r="G269" i="3"/>
  <c r="F270" i="3"/>
  <c r="G270" i="3"/>
  <c r="F271" i="3"/>
  <c r="G271" i="3"/>
  <c r="F272" i="3"/>
  <c r="G272" i="3"/>
  <c r="F273" i="3"/>
  <c r="G273" i="3"/>
  <c r="F274" i="3"/>
  <c r="G274" i="3"/>
  <c r="F275" i="3"/>
  <c r="G275" i="3"/>
  <c r="F276" i="3"/>
  <c r="G276" i="3"/>
  <c r="F277" i="3"/>
  <c r="G277" i="3"/>
  <c r="F278" i="3"/>
  <c r="G278" i="3"/>
  <c r="F279" i="3"/>
  <c r="G279" i="3"/>
  <c r="F280" i="3"/>
  <c r="G280" i="3"/>
  <c r="F281" i="3"/>
  <c r="G281" i="3"/>
  <c r="F282" i="3"/>
  <c r="G282" i="3"/>
  <c r="F283" i="3"/>
  <c r="G283" i="3"/>
  <c r="F284" i="3"/>
  <c r="G284" i="3"/>
  <c r="F285" i="3"/>
  <c r="G285" i="3"/>
  <c r="F286" i="3"/>
  <c r="G286" i="3"/>
  <c r="F287" i="3"/>
  <c r="G287" i="3"/>
  <c r="F288" i="3"/>
  <c r="G288" i="3"/>
  <c r="F289" i="3"/>
  <c r="G289" i="3"/>
  <c r="F290" i="3"/>
  <c r="G290" i="3"/>
  <c r="F291" i="3"/>
  <c r="G291" i="3"/>
  <c r="F292" i="3"/>
  <c r="G292" i="3"/>
  <c r="F293" i="3"/>
  <c r="G293" i="3"/>
  <c r="F294" i="3"/>
  <c r="G294" i="3"/>
  <c r="F295" i="3"/>
  <c r="G295" i="3"/>
  <c r="F296" i="3"/>
  <c r="G296" i="3"/>
  <c r="F297" i="3"/>
  <c r="G297" i="3"/>
  <c r="F298" i="3"/>
  <c r="G298" i="3"/>
  <c r="F299" i="3"/>
  <c r="G299" i="3"/>
  <c r="F300" i="3"/>
  <c r="G300" i="3"/>
  <c r="F301" i="3"/>
  <c r="G301" i="3"/>
  <c r="F302" i="3"/>
  <c r="G302" i="3"/>
  <c r="F303" i="3"/>
  <c r="G303" i="3"/>
  <c r="F304" i="3"/>
  <c r="G304" i="3"/>
  <c r="F305" i="3"/>
  <c r="G305" i="3"/>
  <c r="F306" i="3"/>
  <c r="G306" i="3"/>
  <c r="F307" i="3"/>
  <c r="G307" i="3"/>
  <c r="F308" i="3"/>
  <c r="G308" i="3"/>
  <c r="F309" i="3"/>
  <c r="G309" i="3"/>
  <c r="F310" i="3"/>
  <c r="G310" i="3"/>
  <c r="F311" i="3"/>
  <c r="G311" i="3"/>
  <c r="F312" i="3"/>
  <c r="G312" i="3"/>
  <c r="F313" i="3"/>
  <c r="G313" i="3"/>
  <c r="F314" i="3"/>
  <c r="G314" i="3"/>
  <c r="F315" i="3"/>
  <c r="G315" i="3"/>
  <c r="F316" i="3"/>
  <c r="G316" i="3"/>
  <c r="F317" i="3"/>
  <c r="G317" i="3"/>
  <c r="F318" i="3"/>
  <c r="G318" i="3"/>
  <c r="F319" i="3"/>
  <c r="G319" i="3"/>
  <c r="F320" i="3"/>
  <c r="G320" i="3"/>
  <c r="F321" i="3"/>
  <c r="G321" i="3"/>
  <c r="F322" i="3"/>
  <c r="G322" i="3"/>
  <c r="F323" i="3"/>
  <c r="G323" i="3"/>
  <c r="F324" i="3"/>
  <c r="G324" i="3"/>
  <c r="F325" i="3"/>
  <c r="G325" i="3"/>
  <c r="F326" i="3"/>
  <c r="G326" i="3"/>
  <c r="F327" i="3"/>
  <c r="G327" i="3"/>
  <c r="F328" i="3"/>
  <c r="G328" i="3"/>
  <c r="F329" i="3"/>
  <c r="G329" i="3"/>
  <c r="F330" i="3"/>
  <c r="G330" i="3"/>
  <c r="F331" i="3"/>
  <c r="G331" i="3"/>
  <c r="F332" i="3"/>
  <c r="G332" i="3"/>
  <c r="F333" i="3"/>
  <c r="G333" i="3"/>
  <c r="F334" i="3"/>
  <c r="G334" i="3"/>
  <c r="F335" i="3"/>
  <c r="G335" i="3"/>
  <c r="F336" i="3"/>
  <c r="G336" i="3"/>
  <c r="F337" i="3"/>
  <c r="G337" i="3"/>
  <c r="F338" i="3"/>
  <c r="G338" i="3"/>
  <c r="F339" i="3"/>
  <c r="G339" i="3"/>
  <c r="F340" i="3"/>
  <c r="G340" i="3"/>
  <c r="F341" i="3"/>
  <c r="G341" i="3"/>
  <c r="F342" i="3"/>
  <c r="G342" i="3"/>
  <c r="F343" i="3"/>
  <c r="G343" i="3"/>
  <c r="F344" i="3"/>
  <c r="G344" i="3"/>
  <c r="F345" i="3"/>
  <c r="G345" i="3"/>
  <c r="F346" i="3"/>
  <c r="G346" i="3"/>
  <c r="F347" i="3"/>
  <c r="G347" i="3"/>
  <c r="F348" i="3"/>
  <c r="G348" i="3"/>
  <c r="F349" i="3"/>
  <c r="G349" i="3"/>
  <c r="F350" i="3"/>
  <c r="G350" i="3"/>
  <c r="F351" i="3"/>
  <c r="G351" i="3"/>
  <c r="F352" i="3"/>
  <c r="G352" i="3"/>
  <c r="F353" i="3"/>
  <c r="G353" i="3"/>
  <c r="F354" i="3"/>
  <c r="G354" i="3"/>
  <c r="F355" i="3"/>
  <c r="G355" i="3"/>
  <c r="F356" i="3"/>
  <c r="G356" i="3"/>
  <c r="F357" i="3"/>
  <c r="G357" i="3"/>
  <c r="F358" i="3"/>
  <c r="G358" i="3"/>
  <c r="F359" i="3"/>
  <c r="G359" i="3"/>
  <c r="F360" i="3"/>
  <c r="G360" i="3"/>
  <c r="F361" i="3"/>
  <c r="G361" i="3"/>
  <c r="F362" i="3"/>
  <c r="G362" i="3"/>
  <c r="F363" i="3"/>
  <c r="G363" i="3"/>
  <c r="F364" i="3"/>
  <c r="G364" i="3"/>
  <c r="F365" i="3"/>
  <c r="G365" i="3"/>
  <c r="F366" i="3"/>
  <c r="G366" i="3"/>
  <c r="F367" i="3"/>
  <c r="G367" i="3"/>
  <c r="F368" i="3"/>
  <c r="G368" i="3"/>
  <c r="F369" i="3"/>
  <c r="G369" i="3"/>
  <c r="F370" i="3"/>
  <c r="G370" i="3"/>
  <c r="F371" i="3"/>
  <c r="G371" i="3"/>
  <c r="F372" i="3"/>
  <c r="G372" i="3"/>
  <c r="F373" i="3"/>
  <c r="G373" i="3"/>
  <c r="F374" i="3"/>
  <c r="G374" i="3"/>
  <c r="F375" i="3"/>
  <c r="G375" i="3"/>
  <c r="F376" i="3"/>
  <c r="G376" i="3"/>
  <c r="F377" i="3"/>
  <c r="G377" i="3"/>
  <c r="F378" i="3"/>
  <c r="G378" i="3"/>
  <c r="F379" i="3"/>
  <c r="G379" i="3"/>
  <c r="F380" i="3"/>
  <c r="G380" i="3"/>
  <c r="F381" i="3"/>
  <c r="G381" i="3"/>
  <c r="F382" i="3"/>
  <c r="G382" i="3"/>
  <c r="F383" i="3"/>
  <c r="G383" i="3"/>
  <c r="F384" i="3"/>
  <c r="G384" i="3"/>
  <c r="F385" i="3"/>
  <c r="G385" i="3"/>
  <c r="F386" i="3"/>
  <c r="G386" i="3"/>
  <c r="F387" i="3"/>
  <c r="G387" i="3"/>
  <c r="F388" i="3"/>
  <c r="G388" i="3"/>
  <c r="F389" i="3"/>
  <c r="G389" i="3"/>
  <c r="F390" i="3"/>
  <c r="G390" i="3"/>
  <c r="F391" i="3"/>
  <c r="G391" i="3"/>
  <c r="F392" i="3"/>
  <c r="G392" i="3"/>
  <c r="F393" i="3"/>
  <c r="G393" i="3"/>
  <c r="F394" i="3"/>
  <c r="G394" i="3"/>
  <c r="F395" i="3"/>
  <c r="G395" i="3"/>
  <c r="F396" i="3"/>
  <c r="G396" i="3"/>
  <c r="F397" i="3"/>
  <c r="G397" i="3"/>
  <c r="F398" i="3"/>
  <c r="G398" i="3"/>
  <c r="F399" i="3"/>
  <c r="G399" i="3"/>
  <c r="F400" i="3"/>
  <c r="G400" i="3"/>
  <c r="F401" i="3"/>
  <c r="G401" i="3"/>
  <c r="F402" i="3"/>
  <c r="G402" i="3"/>
  <c r="F403" i="3"/>
  <c r="G403" i="3"/>
  <c r="F404" i="3"/>
  <c r="G404" i="3"/>
  <c r="F405" i="3"/>
  <c r="G405" i="3"/>
  <c r="F406" i="3"/>
  <c r="G406" i="3"/>
  <c r="F407" i="3"/>
  <c r="G407" i="3"/>
  <c r="F408" i="3"/>
  <c r="G408" i="3"/>
  <c r="F409" i="3"/>
  <c r="G409" i="3"/>
  <c r="F410" i="3"/>
  <c r="G410" i="3"/>
  <c r="F411" i="3"/>
  <c r="G411" i="3"/>
  <c r="F412" i="3"/>
  <c r="G412" i="3"/>
  <c r="F413" i="3"/>
  <c r="G413" i="3"/>
  <c r="F414" i="3"/>
  <c r="G414" i="3"/>
  <c r="F415" i="3"/>
  <c r="G415" i="3"/>
  <c r="F416" i="3"/>
  <c r="G416" i="3"/>
  <c r="F417" i="3"/>
  <c r="G417" i="3"/>
  <c r="F418" i="3"/>
  <c r="G418" i="3"/>
  <c r="F419" i="3"/>
  <c r="G419" i="3"/>
  <c r="F420" i="3"/>
  <c r="G420" i="3"/>
  <c r="F421" i="3"/>
  <c r="G421" i="3"/>
  <c r="F422" i="3"/>
  <c r="G422" i="3"/>
  <c r="F423" i="3"/>
  <c r="G423" i="3"/>
  <c r="F424" i="3"/>
  <c r="G424" i="3"/>
  <c r="F425" i="3"/>
  <c r="G425" i="3"/>
  <c r="F426" i="3"/>
  <c r="G426" i="3"/>
  <c r="F427" i="3"/>
  <c r="G427" i="3"/>
  <c r="F428" i="3"/>
  <c r="G428" i="3"/>
  <c r="F429" i="3"/>
  <c r="G429" i="3"/>
  <c r="F430" i="3"/>
  <c r="G430" i="3"/>
  <c r="F431" i="3"/>
  <c r="G431" i="3"/>
  <c r="F432" i="3"/>
  <c r="G432" i="3"/>
  <c r="F433" i="3"/>
  <c r="G433" i="3"/>
  <c r="F434" i="3"/>
  <c r="G434" i="3"/>
  <c r="F435" i="3"/>
  <c r="G435" i="3"/>
  <c r="F436" i="3"/>
  <c r="G436" i="3"/>
  <c r="F437" i="3"/>
  <c r="G437" i="3"/>
  <c r="F438" i="3"/>
  <c r="G438" i="3"/>
  <c r="F439" i="3"/>
  <c r="G439" i="3"/>
  <c r="F440" i="3"/>
  <c r="G440" i="3"/>
  <c r="F441" i="3"/>
  <c r="G441" i="3"/>
  <c r="F442" i="3"/>
  <c r="G442" i="3"/>
  <c r="F443" i="3"/>
  <c r="G443" i="3"/>
  <c r="F444" i="3"/>
  <c r="G444" i="3"/>
  <c r="F445" i="3"/>
  <c r="G445" i="3"/>
  <c r="F446" i="3"/>
  <c r="G446" i="3"/>
  <c r="F447" i="3"/>
  <c r="G447" i="3"/>
  <c r="F448" i="3"/>
  <c r="G448" i="3"/>
  <c r="F449" i="3"/>
  <c r="G449" i="3"/>
  <c r="F450" i="3"/>
  <c r="G450" i="3"/>
  <c r="F451" i="3"/>
  <c r="G451" i="3"/>
  <c r="F452" i="3"/>
  <c r="G452" i="3"/>
  <c r="F453" i="3"/>
  <c r="G453" i="3"/>
  <c r="F454" i="3"/>
  <c r="G454" i="3"/>
  <c r="F455" i="3"/>
  <c r="G455" i="3"/>
  <c r="F456" i="3"/>
  <c r="G456" i="3"/>
  <c r="F457" i="3"/>
  <c r="G457" i="3"/>
  <c r="F458" i="3"/>
  <c r="G458" i="3"/>
  <c r="F459" i="3"/>
  <c r="G459" i="3"/>
  <c r="F460" i="3"/>
  <c r="G460" i="3"/>
  <c r="F461" i="3"/>
  <c r="G461" i="3"/>
  <c r="F462" i="3"/>
  <c r="G462" i="3"/>
  <c r="F463" i="3"/>
  <c r="G463" i="3"/>
  <c r="F464" i="3"/>
  <c r="G464" i="3"/>
  <c r="F465" i="3"/>
  <c r="G465" i="3"/>
  <c r="F466" i="3"/>
  <c r="G466" i="3"/>
  <c r="F467" i="3"/>
  <c r="G467" i="3"/>
  <c r="F468" i="3"/>
  <c r="G468" i="3"/>
  <c r="F469" i="3"/>
  <c r="G469" i="3"/>
  <c r="F470" i="3"/>
  <c r="G470" i="3"/>
  <c r="F471" i="3"/>
  <c r="G471" i="3"/>
  <c r="F472" i="3"/>
  <c r="G472" i="3"/>
  <c r="F473" i="3"/>
  <c r="G473" i="3"/>
  <c r="F474" i="3"/>
  <c r="G474" i="3"/>
  <c r="F475" i="3"/>
  <c r="G475" i="3"/>
  <c r="F476" i="3"/>
  <c r="G476" i="3"/>
  <c r="F477" i="3"/>
  <c r="G477" i="3"/>
  <c r="F478" i="3"/>
  <c r="G478" i="3"/>
  <c r="F479" i="3"/>
  <c r="G479" i="3"/>
  <c r="F480" i="3"/>
  <c r="G480" i="3"/>
  <c r="F481" i="3"/>
  <c r="G481" i="3"/>
  <c r="F482" i="3"/>
  <c r="G482" i="3"/>
  <c r="F483" i="3"/>
  <c r="G483" i="3"/>
  <c r="F484" i="3"/>
  <c r="G484" i="3"/>
  <c r="F485" i="3"/>
  <c r="G485" i="3"/>
  <c r="F486" i="3"/>
  <c r="G486" i="3"/>
  <c r="F487" i="3"/>
  <c r="G487" i="3"/>
  <c r="F488" i="3"/>
  <c r="G488" i="3"/>
  <c r="F489" i="3"/>
  <c r="G489" i="3"/>
  <c r="F490" i="3"/>
  <c r="G490" i="3"/>
  <c r="F491" i="3"/>
  <c r="G491" i="3"/>
  <c r="F492" i="3"/>
  <c r="G492" i="3"/>
  <c r="F493" i="3"/>
  <c r="G493" i="3"/>
  <c r="F494" i="3"/>
  <c r="G494" i="3"/>
  <c r="F495" i="3"/>
  <c r="G495" i="3"/>
  <c r="F496" i="3"/>
  <c r="G496" i="3"/>
  <c r="F497" i="3"/>
  <c r="G497" i="3"/>
  <c r="F498" i="3"/>
  <c r="G498" i="3"/>
  <c r="F499" i="3"/>
  <c r="G499" i="3"/>
  <c r="F500" i="3"/>
  <c r="G500" i="3"/>
  <c r="F501" i="3"/>
  <c r="G501" i="3"/>
  <c r="F502" i="3"/>
  <c r="G502" i="3"/>
  <c r="F503" i="3"/>
  <c r="G503" i="3"/>
  <c r="F504" i="3"/>
  <c r="G504" i="3"/>
  <c r="F505" i="3"/>
  <c r="G505" i="3"/>
  <c r="F506" i="3"/>
  <c r="G506" i="3"/>
  <c r="F507" i="3"/>
  <c r="G507" i="3"/>
  <c r="F508" i="3"/>
  <c r="G508" i="3"/>
  <c r="F509" i="3"/>
  <c r="G509" i="3"/>
  <c r="F510" i="3"/>
  <c r="G510" i="3"/>
  <c r="F511" i="3"/>
  <c r="G511" i="3"/>
  <c r="F512" i="3"/>
  <c r="G512" i="3"/>
  <c r="F513" i="3"/>
  <c r="G513" i="3"/>
  <c r="F514" i="3"/>
  <c r="G514" i="3"/>
  <c r="F515" i="3"/>
  <c r="G515" i="3"/>
  <c r="F516" i="3"/>
  <c r="G516" i="3"/>
  <c r="F517" i="3"/>
  <c r="G517" i="3"/>
  <c r="F518" i="3"/>
  <c r="G518" i="3"/>
  <c r="F519" i="3"/>
  <c r="G519" i="3"/>
  <c r="F520" i="3"/>
  <c r="G520" i="3"/>
  <c r="F521" i="3"/>
  <c r="G521" i="3"/>
  <c r="F522" i="3"/>
  <c r="G522" i="3"/>
  <c r="F523" i="3"/>
  <c r="G523" i="3"/>
  <c r="F524" i="3"/>
  <c r="G524" i="3"/>
  <c r="F525" i="3"/>
  <c r="G525" i="3"/>
  <c r="F526" i="3"/>
  <c r="G526" i="3"/>
  <c r="F527" i="3"/>
  <c r="G527" i="3"/>
  <c r="F528" i="3"/>
  <c r="G528" i="3"/>
  <c r="F529" i="3"/>
  <c r="G529" i="3"/>
  <c r="F530" i="3"/>
  <c r="G530" i="3"/>
  <c r="F531" i="3"/>
  <c r="G531" i="3"/>
  <c r="F532" i="3"/>
  <c r="G532" i="3"/>
  <c r="F533" i="3"/>
  <c r="G533" i="3"/>
  <c r="F534" i="3"/>
  <c r="G534" i="3"/>
  <c r="F535" i="3"/>
  <c r="G535" i="3"/>
  <c r="F536" i="3"/>
  <c r="G536" i="3"/>
  <c r="F537" i="3"/>
  <c r="G537" i="3"/>
  <c r="F538" i="3"/>
  <c r="G538" i="3"/>
  <c r="F539" i="3"/>
  <c r="G539" i="3"/>
  <c r="F540" i="3"/>
  <c r="G540" i="3"/>
  <c r="F541" i="3"/>
  <c r="G541" i="3"/>
  <c r="F542" i="3"/>
  <c r="G542" i="3"/>
  <c r="F543" i="3"/>
  <c r="G543" i="3"/>
  <c r="F544" i="3"/>
  <c r="G544" i="3"/>
  <c r="F545" i="3"/>
  <c r="G545" i="3"/>
  <c r="F546" i="3"/>
  <c r="G546" i="3"/>
  <c r="F547" i="3"/>
  <c r="G547" i="3"/>
  <c r="F548" i="3"/>
  <c r="G548" i="3"/>
  <c r="F549" i="3"/>
  <c r="G549" i="3"/>
  <c r="F550" i="3"/>
  <c r="G550" i="3"/>
  <c r="F551" i="3"/>
  <c r="G551" i="3"/>
  <c r="F552" i="3"/>
  <c r="G552" i="3"/>
  <c r="F553" i="3"/>
  <c r="G553" i="3"/>
  <c r="F554" i="3"/>
  <c r="G554" i="3"/>
  <c r="F555" i="3"/>
  <c r="G555" i="3"/>
  <c r="F556" i="3"/>
  <c r="G556" i="3"/>
  <c r="F557" i="3"/>
  <c r="G557" i="3"/>
  <c r="F558" i="3"/>
  <c r="G558" i="3"/>
  <c r="F559" i="3"/>
  <c r="G559" i="3"/>
  <c r="F560" i="3"/>
  <c r="G560" i="3"/>
  <c r="F561" i="3"/>
  <c r="G561" i="3"/>
  <c r="F562" i="3"/>
  <c r="G562" i="3"/>
  <c r="F563" i="3"/>
  <c r="G563" i="3"/>
  <c r="F564" i="3"/>
  <c r="G564" i="3"/>
  <c r="F565" i="3"/>
  <c r="G565" i="3"/>
  <c r="F566" i="3"/>
  <c r="G566" i="3"/>
  <c r="F567" i="3"/>
  <c r="G567" i="3"/>
  <c r="F568" i="3"/>
  <c r="G568" i="3"/>
  <c r="F569" i="3"/>
  <c r="G569" i="3"/>
  <c r="F570" i="3"/>
  <c r="G570" i="3"/>
  <c r="F571" i="3"/>
  <c r="G571" i="3"/>
  <c r="F572" i="3"/>
  <c r="G572" i="3"/>
  <c r="F573" i="3"/>
  <c r="G573" i="3"/>
  <c r="F574" i="3"/>
  <c r="G574" i="3"/>
  <c r="F575" i="3"/>
  <c r="G575" i="3"/>
  <c r="F576" i="3"/>
  <c r="G576" i="3"/>
  <c r="F577" i="3"/>
  <c r="G577" i="3"/>
  <c r="F578" i="3"/>
  <c r="G578" i="3"/>
  <c r="F579" i="3"/>
  <c r="G579" i="3"/>
  <c r="F580" i="3"/>
  <c r="G580" i="3"/>
  <c r="F581" i="3"/>
  <c r="G581" i="3"/>
  <c r="F582" i="3"/>
  <c r="G582" i="3"/>
  <c r="F583" i="3"/>
  <c r="G583" i="3"/>
  <c r="F584" i="3"/>
  <c r="G584" i="3"/>
  <c r="F585" i="3"/>
  <c r="G585" i="3"/>
  <c r="F586" i="3"/>
  <c r="G586" i="3"/>
  <c r="F587" i="3"/>
  <c r="G587" i="3"/>
  <c r="F588" i="3"/>
  <c r="G588" i="3"/>
  <c r="F589" i="3"/>
  <c r="G589" i="3"/>
  <c r="F590" i="3"/>
  <c r="G590" i="3"/>
  <c r="F591" i="3"/>
  <c r="G591" i="3"/>
  <c r="F592" i="3"/>
  <c r="G592" i="3"/>
  <c r="F593" i="3"/>
  <c r="G593" i="3"/>
  <c r="F594" i="3"/>
  <c r="G594" i="3"/>
  <c r="F595" i="3"/>
  <c r="G595" i="3"/>
  <c r="F596" i="3"/>
  <c r="G596" i="3"/>
  <c r="F597" i="3"/>
  <c r="G597" i="3"/>
  <c r="F598" i="3"/>
  <c r="G598" i="3"/>
  <c r="F599" i="3"/>
  <c r="G599" i="3"/>
  <c r="F600" i="3"/>
  <c r="G600" i="3"/>
  <c r="F601" i="3"/>
  <c r="G601" i="3"/>
  <c r="F602" i="3"/>
  <c r="G602" i="3"/>
  <c r="F603" i="3"/>
  <c r="G603" i="3"/>
  <c r="F604" i="3"/>
  <c r="G604" i="3"/>
  <c r="F605" i="3"/>
  <c r="G605" i="3"/>
  <c r="F606" i="3"/>
  <c r="G606" i="3"/>
  <c r="F607" i="3"/>
  <c r="G607" i="3"/>
  <c r="F608" i="3"/>
  <c r="G608" i="3"/>
  <c r="F609" i="3"/>
  <c r="G609" i="3"/>
  <c r="F610" i="3"/>
  <c r="G610" i="3"/>
  <c r="F611" i="3"/>
  <c r="G611" i="3"/>
  <c r="F612" i="3"/>
  <c r="G612" i="3"/>
  <c r="F613" i="3"/>
  <c r="G613" i="3"/>
  <c r="F614" i="3"/>
  <c r="G614" i="3"/>
  <c r="F615" i="3"/>
  <c r="G615" i="3"/>
  <c r="F616" i="3"/>
  <c r="G616" i="3"/>
  <c r="F617" i="3"/>
  <c r="G617" i="3"/>
  <c r="F618" i="3"/>
  <c r="G618" i="3"/>
  <c r="F619" i="3"/>
  <c r="G619" i="3"/>
  <c r="F620" i="3"/>
  <c r="G620" i="3"/>
  <c r="F621" i="3"/>
  <c r="G621" i="3"/>
  <c r="F622" i="3"/>
  <c r="G622" i="3"/>
  <c r="F623" i="3"/>
  <c r="G623" i="3"/>
  <c r="F624" i="3"/>
  <c r="G624" i="3"/>
  <c r="F625" i="3"/>
  <c r="G625" i="3"/>
  <c r="F626" i="3"/>
  <c r="G626" i="3"/>
  <c r="F627" i="3"/>
  <c r="G627" i="3"/>
  <c r="F628" i="3"/>
  <c r="G628" i="3"/>
  <c r="F629" i="3"/>
  <c r="G629" i="3"/>
  <c r="F630" i="3"/>
  <c r="G630" i="3"/>
  <c r="F631" i="3"/>
  <c r="G631" i="3"/>
  <c r="F632" i="3"/>
  <c r="G632" i="3"/>
  <c r="F633" i="3"/>
  <c r="G633" i="3"/>
  <c r="F634" i="3"/>
  <c r="G634" i="3"/>
  <c r="F635" i="3"/>
  <c r="G635" i="3"/>
  <c r="F636" i="3"/>
  <c r="G636" i="3"/>
  <c r="F637" i="3"/>
  <c r="G637" i="3"/>
  <c r="F638" i="3"/>
  <c r="G638" i="3"/>
  <c r="F639" i="3"/>
  <c r="G639" i="3"/>
  <c r="F640" i="3"/>
  <c r="G640" i="3"/>
  <c r="F641" i="3"/>
  <c r="G641" i="3"/>
  <c r="F642" i="3"/>
  <c r="G642" i="3"/>
  <c r="F643" i="3"/>
  <c r="G643" i="3"/>
  <c r="F644" i="3"/>
  <c r="G644" i="3"/>
  <c r="F645" i="3"/>
  <c r="G645" i="3"/>
  <c r="F646" i="3"/>
  <c r="G646" i="3"/>
  <c r="F647" i="3"/>
  <c r="G647" i="3"/>
  <c r="F648" i="3"/>
  <c r="G648" i="3"/>
  <c r="F649" i="3"/>
  <c r="G649" i="3"/>
  <c r="F650" i="3"/>
  <c r="G650" i="3"/>
  <c r="F651" i="3"/>
  <c r="G651" i="3"/>
  <c r="F652" i="3"/>
  <c r="G652" i="3"/>
  <c r="F653" i="3"/>
  <c r="G653" i="3"/>
  <c r="F654" i="3"/>
  <c r="G654" i="3"/>
  <c r="F655" i="3"/>
  <c r="G655" i="3"/>
  <c r="F656" i="3"/>
  <c r="G656" i="3"/>
  <c r="F657" i="3"/>
  <c r="G657" i="3"/>
  <c r="F658" i="3"/>
  <c r="G658" i="3"/>
  <c r="F659" i="3"/>
  <c r="G659" i="3"/>
  <c r="F660" i="3"/>
  <c r="G660" i="3"/>
  <c r="F661" i="3"/>
  <c r="G661" i="3"/>
  <c r="F662" i="3"/>
  <c r="G662" i="3"/>
  <c r="F663" i="3"/>
  <c r="G663" i="3"/>
  <c r="F664" i="3"/>
  <c r="G664" i="3"/>
  <c r="F665" i="3"/>
  <c r="G665" i="3"/>
  <c r="F666" i="3"/>
  <c r="G666" i="3"/>
  <c r="F667" i="3"/>
  <c r="G667" i="3"/>
  <c r="F668" i="3"/>
  <c r="G668" i="3"/>
  <c r="F669" i="3"/>
  <c r="G669" i="3"/>
  <c r="F670" i="3"/>
  <c r="G670" i="3"/>
  <c r="F671" i="3"/>
  <c r="G671" i="3"/>
  <c r="F672" i="3"/>
  <c r="G672" i="3"/>
  <c r="F673" i="3"/>
  <c r="G673" i="3"/>
  <c r="F674" i="3"/>
  <c r="G674" i="3"/>
  <c r="F675" i="3"/>
  <c r="G675" i="3"/>
  <c r="F676" i="3"/>
  <c r="G676" i="3"/>
  <c r="F677" i="3"/>
  <c r="G677" i="3"/>
  <c r="F678" i="3"/>
  <c r="G678" i="3"/>
  <c r="F679" i="3"/>
  <c r="G679" i="3"/>
  <c r="F680" i="3"/>
  <c r="G680" i="3"/>
  <c r="F681" i="3"/>
  <c r="G681" i="3"/>
  <c r="F682" i="3"/>
  <c r="G682" i="3"/>
  <c r="F683" i="3"/>
  <c r="G683" i="3"/>
  <c r="F684" i="3"/>
  <c r="G684" i="3"/>
  <c r="F685" i="3"/>
  <c r="G685" i="3"/>
  <c r="F686" i="3"/>
  <c r="G686" i="3"/>
  <c r="F687" i="3"/>
  <c r="G687" i="3"/>
  <c r="F688" i="3"/>
  <c r="G688" i="3"/>
  <c r="F689" i="3"/>
  <c r="G689" i="3"/>
  <c r="F690" i="3"/>
  <c r="G690" i="3"/>
  <c r="F691" i="3"/>
  <c r="G691" i="3"/>
  <c r="F692" i="3"/>
  <c r="G692" i="3"/>
  <c r="F693" i="3"/>
  <c r="G693" i="3"/>
  <c r="F694" i="3"/>
  <c r="G694" i="3"/>
  <c r="F695" i="3"/>
  <c r="G695" i="3"/>
  <c r="F696" i="3"/>
  <c r="G696" i="3"/>
  <c r="F697" i="3"/>
  <c r="G697" i="3"/>
  <c r="F698" i="3"/>
  <c r="G698" i="3"/>
  <c r="F699" i="3"/>
  <c r="G699" i="3"/>
  <c r="F700" i="3"/>
  <c r="G700" i="3"/>
  <c r="F701" i="3"/>
  <c r="G701" i="3"/>
  <c r="F702" i="3"/>
  <c r="G702" i="3"/>
  <c r="F703" i="3"/>
  <c r="G703" i="3"/>
  <c r="F704" i="3"/>
  <c r="G704" i="3"/>
  <c r="F705" i="3"/>
  <c r="G705" i="3"/>
  <c r="F706" i="3"/>
  <c r="G706" i="3"/>
  <c r="F707" i="3"/>
  <c r="G707" i="3"/>
  <c r="F708" i="3"/>
  <c r="G708" i="3"/>
  <c r="F709" i="3"/>
  <c r="G709" i="3"/>
  <c r="F710" i="3"/>
  <c r="G710" i="3"/>
  <c r="F711" i="3"/>
  <c r="G711" i="3"/>
  <c r="F712" i="3"/>
  <c r="G712" i="3"/>
  <c r="F713" i="3"/>
  <c r="G713" i="3"/>
  <c r="F714" i="3"/>
  <c r="G714" i="3"/>
  <c r="F715" i="3"/>
  <c r="G715" i="3"/>
  <c r="F716" i="3"/>
  <c r="G716" i="3"/>
  <c r="F717" i="3"/>
  <c r="G717" i="3"/>
  <c r="F718" i="3"/>
  <c r="G718" i="3"/>
  <c r="F719" i="3"/>
  <c r="G719" i="3"/>
  <c r="F720" i="3"/>
  <c r="G720" i="3"/>
  <c r="F721" i="3"/>
  <c r="G721" i="3"/>
  <c r="F722" i="3"/>
  <c r="G722" i="3"/>
  <c r="F723" i="3"/>
  <c r="G723" i="3"/>
  <c r="F724" i="3"/>
  <c r="G724" i="3"/>
  <c r="F725" i="3"/>
  <c r="G725" i="3"/>
  <c r="F726" i="3"/>
  <c r="G726" i="3"/>
  <c r="F727" i="3"/>
  <c r="G727" i="3"/>
  <c r="F728" i="3"/>
  <c r="G728" i="3"/>
  <c r="F729" i="3"/>
  <c r="G729" i="3"/>
  <c r="F730" i="3"/>
  <c r="G730" i="3"/>
  <c r="F731" i="3"/>
  <c r="G731" i="3"/>
  <c r="F732" i="3"/>
  <c r="G732" i="3"/>
  <c r="F733" i="3"/>
  <c r="G733" i="3"/>
  <c r="F734" i="3"/>
  <c r="G734" i="3"/>
  <c r="F735" i="3"/>
  <c r="G735" i="3"/>
  <c r="F736" i="3"/>
  <c r="G736" i="3"/>
  <c r="F737" i="3"/>
  <c r="G737" i="3"/>
  <c r="F738" i="3"/>
  <c r="G738" i="3"/>
  <c r="F739" i="3"/>
  <c r="G739" i="3"/>
  <c r="F740" i="3"/>
  <c r="G740" i="3"/>
  <c r="F741" i="3"/>
  <c r="G741" i="3"/>
  <c r="F742" i="3"/>
  <c r="G742" i="3"/>
  <c r="F743" i="3"/>
  <c r="G743" i="3"/>
  <c r="F744" i="3"/>
  <c r="G744" i="3"/>
  <c r="F745" i="3"/>
  <c r="G745" i="3"/>
  <c r="F746" i="3"/>
  <c r="G746" i="3"/>
  <c r="F747" i="3"/>
  <c r="G747" i="3"/>
  <c r="F748" i="3"/>
  <c r="G748" i="3"/>
  <c r="F749" i="3"/>
  <c r="G749" i="3"/>
  <c r="F750" i="3"/>
  <c r="G750" i="3"/>
  <c r="F751" i="3"/>
  <c r="G751" i="3"/>
  <c r="F752" i="3"/>
  <c r="G752" i="3"/>
  <c r="F753" i="3"/>
  <c r="G753" i="3"/>
  <c r="F754" i="3"/>
  <c r="G754" i="3"/>
  <c r="F755" i="3"/>
  <c r="G755" i="3"/>
  <c r="F756" i="3"/>
  <c r="G756" i="3"/>
  <c r="F757" i="3"/>
  <c r="G757" i="3"/>
  <c r="F758" i="3"/>
  <c r="G758" i="3"/>
  <c r="F759" i="3"/>
  <c r="G759" i="3"/>
  <c r="F760" i="3"/>
  <c r="G760" i="3"/>
  <c r="F761" i="3"/>
  <c r="G761" i="3"/>
  <c r="F762" i="3"/>
  <c r="G762" i="3"/>
  <c r="F763" i="3"/>
  <c r="G763" i="3"/>
  <c r="F764" i="3"/>
  <c r="G764" i="3"/>
  <c r="F765" i="3"/>
  <c r="G765" i="3"/>
  <c r="F766" i="3"/>
  <c r="G766" i="3"/>
  <c r="F767" i="3"/>
  <c r="G767" i="3"/>
  <c r="F768" i="3"/>
  <c r="G768" i="3"/>
  <c r="F769" i="3"/>
  <c r="G769" i="3"/>
  <c r="F770" i="3"/>
  <c r="G770" i="3"/>
  <c r="F771" i="3"/>
  <c r="G771" i="3"/>
  <c r="F772" i="3"/>
  <c r="G772" i="3"/>
  <c r="F773" i="3"/>
  <c r="G773" i="3"/>
  <c r="F774" i="3"/>
  <c r="G774" i="3"/>
  <c r="F775" i="3"/>
  <c r="G775" i="3"/>
  <c r="F776" i="3"/>
  <c r="G776" i="3"/>
  <c r="F777" i="3"/>
  <c r="G777" i="3"/>
  <c r="F778" i="3"/>
  <c r="G778" i="3"/>
  <c r="F779" i="3"/>
  <c r="G779" i="3"/>
  <c r="F780" i="3"/>
  <c r="G780" i="3"/>
  <c r="F781" i="3"/>
  <c r="G781" i="3"/>
  <c r="F782" i="3"/>
  <c r="G782" i="3"/>
  <c r="F783" i="3"/>
  <c r="G783" i="3"/>
  <c r="F784" i="3"/>
  <c r="G784" i="3"/>
  <c r="F785" i="3"/>
  <c r="G785" i="3"/>
  <c r="F786" i="3"/>
  <c r="G786" i="3"/>
  <c r="F787" i="3"/>
  <c r="G787" i="3"/>
  <c r="F788" i="3"/>
  <c r="G788" i="3"/>
  <c r="F789" i="3"/>
  <c r="G789" i="3"/>
  <c r="F790" i="3"/>
  <c r="G790" i="3"/>
  <c r="F791" i="3"/>
  <c r="G791" i="3"/>
  <c r="F792" i="3"/>
  <c r="G792" i="3"/>
  <c r="F793" i="3"/>
  <c r="G793" i="3"/>
  <c r="F794" i="3"/>
  <c r="G794" i="3"/>
  <c r="F795" i="3"/>
  <c r="G795" i="3"/>
  <c r="F796" i="3"/>
  <c r="G796" i="3"/>
  <c r="F797" i="3"/>
  <c r="G797" i="3"/>
  <c r="F798" i="3"/>
  <c r="G798" i="3"/>
  <c r="F799" i="3"/>
  <c r="G799" i="3"/>
  <c r="F800" i="3"/>
  <c r="G800" i="3"/>
  <c r="F801" i="3"/>
  <c r="G801" i="3"/>
  <c r="F802" i="3"/>
  <c r="G802" i="3"/>
  <c r="F803" i="3"/>
  <c r="G803" i="3"/>
  <c r="F804" i="3"/>
  <c r="G804" i="3"/>
  <c r="F805" i="3"/>
  <c r="G805" i="3"/>
  <c r="F806" i="3"/>
  <c r="G806" i="3"/>
  <c r="F807" i="3"/>
  <c r="G807" i="3"/>
  <c r="F808" i="3"/>
  <c r="G808" i="3"/>
  <c r="F809" i="3"/>
  <c r="G809" i="3"/>
  <c r="F810" i="3"/>
  <c r="G810" i="3"/>
  <c r="F811" i="3"/>
  <c r="G811" i="3"/>
  <c r="F812" i="3"/>
  <c r="G812" i="3"/>
  <c r="F813" i="3"/>
  <c r="G813" i="3"/>
  <c r="F814" i="3"/>
  <c r="G814" i="3"/>
  <c r="F815" i="3"/>
  <c r="G815" i="3"/>
  <c r="F816" i="3"/>
  <c r="G816" i="3"/>
  <c r="F817" i="3"/>
  <c r="G817" i="3"/>
  <c r="F818" i="3"/>
  <c r="G818" i="3"/>
  <c r="F819" i="3"/>
  <c r="G819" i="3"/>
  <c r="F820" i="3"/>
  <c r="G820" i="3"/>
  <c r="F821" i="3"/>
  <c r="G821" i="3"/>
  <c r="F822" i="3"/>
  <c r="G822" i="3"/>
  <c r="F823" i="3"/>
  <c r="G823" i="3"/>
  <c r="F824" i="3"/>
  <c r="G824" i="3"/>
  <c r="F825" i="3"/>
  <c r="G825" i="3"/>
  <c r="F826" i="3"/>
  <c r="G826" i="3"/>
  <c r="F827" i="3"/>
  <c r="G827" i="3"/>
  <c r="F828" i="3"/>
  <c r="G828" i="3"/>
  <c r="F829" i="3"/>
  <c r="G829" i="3"/>
  <c r="F830" i="3"/>
  <c r="G830" i="3"/>
  <c r="F831" i="3"/>
  <c r="G831" i="3"/>
  <c r="F832" i="3"/>
  <c r="G832" i="3"/>
  <c r="F833" i="3"/>
  <c r="G833" i="3"/>
  <c r="F834" i="3"/>
  <c r="G834" i="3"/>
  <c r="F835" i="3"/>
  <c r="G835" i="3"/>
  <c r="F836" i="3"/>
  <c r="G836" i="3"/>
  <c r="F837" i="3"/>
  <c r="G837" i="3"/>
  <c r="F838" i="3"/>
  <c r="G838" i="3"/>
  <c r="F839" i="3"/>
  <c r="G839" i="3"/>
  <c r="F840" i="3"/>
  <c r="G840" i="3"/>
  <c r="F841" i="3"/>
  <c r="G841" i="3"/>
  <c r="F842" i="3"/>
  <c r="G842" i="3"/>
  <c r="F843" i="3"/>
  <c r="G843" i="3"/>
  <c r="F844" i="3"/>
  <c r="G844" i="3"/>
  <c r="F845" i="3"/>
  <c r="G845" i="3"/>
  <c r="F846" i="3"/>
  <c r="G846" i="3"/>
  <c r="F847" i="3"/>
  <c r="G847" i="3"/>
  <c r="F848" i="3"/>
  <c r="G848" i="3"/>
  <c r="F849" i="3"/>
  <c r="G849" i="3"/>
  <c r="F850" i="3"/>
  <c r="G850" i="3"/>
  <c r="F851" i="3"/>
  <c r="G851" i="3"/>
  <c r="F852" i="3"/>
  <c r="G852" i="3"/>
  <c r="F853" i="3"/>
  <c r="G853" i="3"/>
  <c r="F854" i="3"/>
  <c r="G854" i="3"/>
  <c r="F855" i="3"/>
  <c r="G855" i="3"/>
  <c r="F856" i="3"/>
  <c r="G856" i="3"/>
  <c r="F857" i="3"/>
  <c r="G857" i="3"/>
  <c r="F858" i="3"/>
  <c r="G858" i="3"/>
  <c r="F859" i="3"/>
  <c r="G859" i="3"/>
  <c r="F860" i="3"/>
  <c r="G860" i="3"/>
  <c r="F861" i="3"/>
  <c r="G861" i="3"/>
  <c r="F862" i="3"/>
  <c r="G862" i="3"/>
  <c r="F863" i="3"/>
  <c r="G863" i="3"/>
  <c r="F864" i="3"/>
  <c r="G864" i="3"/>
  <c r="F865" i="3"/>
  <c r="G865" i="3"/>
  <c r="F866" i="3"/>
  <c r="G866" i="3"/>
  <c r="F867" i="3"/>
  <c r="G867" i="3"/>
  <c r="F868" i="3"/>
  <c r="G868" i="3"/>
  <c r="F869" i="3"/>
  <c r="G869" i="3"/>
  <c r="F870" i="3"/>
  <c r="G870" i="3"/>
  <c r="F871" i="3"/>
  <c r="G871" i="3"/>
  <c r="F872" i="3"/>
  <c r="G872" i="3"/>
  <c r="F873" i="3"/>
  <c r="G873" i="3"/>
  <c r="F874" i="3"/>
  <c r="G874" i="3"/>
  <c r="F875" i="3"/>
  <c r="G875" i="3"/>
  <c r="F876" i="3"/>
  <c r="G876" i="3"/>
  <c r="F877" i="3"/>
  <c r="G877" i="3"/>
  <c r="F878" i="3"/>
  <c r="G878" i="3"/>
  <c r="F879" i="3"/>
  <c r="G879" i="3"/>
  <c r="F880" i="3"/>
  <c r="G880" i="3"/>
  <c r="F881" i="3"/>
  <c r="G881" i="3"/>
  <c r="F882" i="3"/>
  <c r="G882" i="3"/>
  <c r="F883" i="3"/>
  <c r="G883" i="3"/>
  <c r="F884" i="3"/>
  <c r="G884" i="3"/>
  <c r="F885" i="3"/>
  <c r="G885" i="3"/>
  <c r="F886" i="3"/>
  <c r="G886" i="3"/>
  <c r="F887" i="3"/>
  <c r="G887" i="3"/>
  <c r="F888" i="3"/>
  <c r="G888" i="3"/>
  <c r="F889" i="3"/>
  <c r="G889" i="3"/>
  <c r="F890" i="3"/>
  <c r="G890" i="3"/>
  <c r="F891" i="3"/>
  <c r="G891" i="3"/>
  <c r="F892" i="3"/>
  <c r="G892" i="3"/>
  <c r="F893" i="3"/>
  <c r="G893" i="3"/>
  <c r="F894" i="3"/>
  <c r="G894" i="3"/>
  <c r="F895" i="3"/>
  <c r="G895" i="3"/>
  <c r="F896" i="3"/>
  <c r="G896" i="3"/>
  <c r="F897" i="3"/>
  <c r="G897" i="3"/>
  <c r="F898" i="3"/>
  <c r="G898" i="3"/>
  <c r="F899" i="3"/>
  <c r="G899" i="3"/>
  <c r="F900" i="3"/>
  <c r="G900" i="3"/>
  <c r="F901" i="3"/>
  <c r="G901" i="3"/>
  <c r="F902" i="3"/>
  <c r="G902" i="3"/>
  <c r="F903" i="3"/>
  <c r="G903" i="3"/>
  <c r="F904" i="3"/>
  <c r="G904" i="3"/>
  <c r="F905" i="3"/>
  <c r="G905" i="3"/>
  <c r="F906" i="3"/>
  <c r="G906" i="3"/>
  <c r="F907" i="3"/>
  <c r="G907" i="3"/>
  <c r="F908" i="3"/>
  <c r="G908" i="3"/>
  <c r="F909" i="3"/>
  <c r="G909" i="3"/>
  <c r="F910" i="3"/>
  <c r="G910" i="3"/>
  <c r="F911" i="3"/>
  <c r="G911" i="3"/>
  <c r="F912" i="3"/>
  <c r="G912" i="3"/>
  <c r="F913" i="3"/>
  <c r="G913" i="3"/>
  <c r="F914" i="3"/>
  <c r="G914" i="3"/>
  <c r="F915" i="3"/>
  <c r="G915" i="3"/>
  <c r="F916" i="3"/>
  <c r="G916" i="3"/>
  <c r="F917" i="3"/>
  <c r="G917" i="3"/>
  <c r="F918" i="3"/>
  <c r="G918" i="3"/>
  <c r="F919" i="3"/>
  <c r="G919" i="3"/>
  <c r="F920" i="3"/>
  <c r="G920" i="3"/>
  <c r="F921" i="3"/>
  <c r="G921" i="3"/>
  <c r="F922" i="3"/>
  <c r="G922" i="3"/>
  <c r="F923" i="3"/>
  <c r="G923" i="3"/>
  <c r="F924" i="3"/>
  <c r="G924" i="3"/>
  <c r="F925" i="3"/>
  <c r="G925" i="3"/>
  <c r="F926" i="3"/>
  <c r="G926" i="3"/>
  <c r="F927" i="3"/>
  <c r="G927" i="3"/>
  <c r="F928" i="3"/>
  <c r="G928" i="3"/>
  <c r="F929" i="3"/>
  <c r="G929" i="3"/>
  <c r="F930" i="3"/>
  <c r="G930" i="3"/>
  <c r="F931" i="3"/>
  <c r="G931" i="3"/>
  <c r="F932" i="3"/>
  <c r="G932" i="3"/>
  <c r="F933" i="3"/>
  <c r="G933" i="3"/>
  <c r="F934" i="3"/>
  <c r="G934" i="3"/>
  <c r="F935" i="3"/>
  <c r="G935" i="3"/>
  <c r="F936" i="3"/>
  <c r="G936" i="3"/>
  <c r="F937" i="3"/>
  <c r="G937" i="3"/>
  <c r="F938" i="3"/>
  <c r="G938" i="3"/>
  <c r="F939" i="3"/>
  <c r="G939" i="3"/>
  <c r="F940" i="3"/>
  <c r="G940" i="3"/>
  <c r="F941" i="3"/>
  <c r="G941" i="3"/>
  <c r="F942" i="3"/>
  <c r="G942" i="3"/>
  <c r="F943" i="3"/>
  <c r="G943" i="3"/>
  <c r="F944" i="3"/>
  <c r="G944" i="3"/>
  <c r="F945" i="3"/>
  <c r="G945" i="3"/>
  <c r="F946" i="3"/>
  <c r="G946" i="3"/>
  <c r="F947" i="3"/>
  <c r="G947" i="3"/>
  <c r="F948" i="3"/>
  <c r="G948" i="3"/>
  <c r="F949" i="3"/>
  <c r="G949" i="3"/>
  <c r="F950" i="3"/>
  <c r="G950" i="3"/>
  <c r="F951" i="3"/>
  <c r="G951" i="3"/>
  <c r="F952" i="3"/>
  <c r="G952" i="3"/>
  <c r="F953" i="3"/>
  <c r="G953" i="3"/>
  <c r="F954" i="3"/>
  <c r="G954" i="3"/>
  <c r="A5" i="2"/>
  <c r="B5" i="2"/>
  <c r="D5" i="2"/>
  <c r="F5" i="2"/>
  <c r="G5" i="2"/>
  <c r="H5" i="2"/>
  <c r="I5" i="2"/>
  <c r="J5" i="2"/>
  <c r="K5" i="2"/>
  <c r="B482" i="3" s="1"/>
  <c r="M5" i="2"/>
  <c r="N5" i="2"/>
  <c r="O5" i="2"/>
  <c r="P5" i="2"/>
  <c r="B641" i="3" s="1"/>
  <c r="R5" i="2"/>
  <c r="S5" i="2"/>
  <c r="T5" i="2"/>
  <c r="U5" i="2"/>
  <c r="B800" i="3" s="1"/>
  <c r="W5" i="2"/>
  <c r="X5" i="2"/>
  <c r="Y5" i="2"/>
  <c r="A6" i="2"/>
  <c r="C6" i="2" s="1"/>
  <c r="B6" i="2"/>
  <c r="D6" i="2"/>
  <c r="E6" i="2"/>
  <c r="F6" i="2"/>
  <c r="H6" i="2"/>
  <c r="I6" i="2"/>
  <c r="J6" i="2"/>
  <c r="K6" i="2"/>
  <c r="B483" i="3" s="1"/>
  <c r="M6" i="2"/>
  <c r="N6" i="2"/>
  <c r="O6" i="2"/>
  <c r="P6" i="2"/>
  <c r="B642" i="3" s="1"/>
  <c r="Q6" i="2"/>
  <c r="A642" i="3" s="1"/>
  <c r="R6" i="2"/>
  <c r="S6" i="2"/>
  <c r="T6" i="2"/>
  <c r="U6" i="2"/>
  <c r="B801" i="3" s="1"/>
  <c r="V6" i="2"/>
  <c r="A801" i="3" s="1"/>
  <c r="W6" i="2"/>
  <c r="X6" i="2"/>
  <c r="Y6" i="2"/>
  <c r="A7" i="2"/>
  <c r="Q7" i="2" s="1"/>
  <c r="A643" i="3" s="1"/>
  <c r="B7" i="2"/>
  <c r="D7" i="2"/>
  <c r="E7" i="2"/>
  <c r="A166" i="3" s="1"/>
  <c r="F7" i="2"/>
  <c r="B325" i="3" s="1"/>
  <c r="H7" i="2"/>
  <c r="I7" i="2"/>
  <c r="J7" i="2"/>
  <c r="K7" i="2"/>
  <c r="B484" i="3" s="1"/>
  <c r="M7" i="2"/>
  <c r="N7" i="2"/>
  <c r="O7" i="2"/>
  <c r="P7" i="2"/>
  <c r="B643" i="3" s="1"/>
  <c r="R7" i="2"/>
  <c r="S7" i="2"/>
  <c r="T7" i="2"/>
  <c r="U7" i="2"/>
  <c r="B802" i="3" s="1"/>
  <c r="W7" i="2"/>
  <c r="X7" i="2"/>
  <c r="Y7" i="2"/>
  <c r="A8" i="2"/>
  <c r="L8" i="2" s="1"/>
  <c r="A485" i="3" s="1"/>
  <c r="B8" i="2"/>
  <c r="D8" i="2"/>
  <c r="E8" i="2"/>
  <c r="F8" i="2"/>
  <c r="B326" i="3" s="1"/>
  <c r="H8" i="2"/>
  <c r="I8" i="2"/>
  <c r="J8" i="2"/>
  <c r="K8" i="2"/>
  <c r="B485" i="3" s="1"/>
  <c r="M8" i="2"/>
  <c r="N8" i="2"/>
  <c r="O8" i="2"/>
  <c r="P8" i="2"/>
  <c r="B644" i="3" s="1"/>
  <c r="Q8" i="2"/>
  <c r="A644" i="3" s="1"/>
  <c r="R8" i="2"/>
  <c r="S8" i="2"/>
  <c r="T8" i="2"/>
  <c r="U8" i="2"/>
  <c r="B803" i="3" s="1"/>
  <c r="V8" i="2"/>
  <c r="A803" i="3" s="1"/>
  <c r="W8" i="2"/>
  <c r="X8" i="2"/>
  <c r="Y8" i="2"/>
  <c r="A9" i="2"/>
  <c r="B9" i="2"/>
  <c r="D9" i="2"/>
  <c r="E9" i="2"/>
  <c r="F9" i="2"/>
  <c r="G9" i="2"/>
  <c r="H9" i="2"/>
  <c r="I9" i="2"/>
  <c r="J9" i="2"/>
  <c r="K9" i="2"/>
  <c r="B486" i="3" s="1"/>
  <c r="M9" i="2"/>
  <c r="N9" i="2"/>
  <c r="O9" i="2"/>
  <c r="P9" i="2"/>
  <c r="B645" i="3" s="1"/>
  <c r="R9" i="2"/>
  <c r="S9" i="2"/>
  <c r="T9" i="2"/>
  <c r="U9" i="2"/>
  <c r="B804" i="3" s="1"/>
  <c r="W9" i="2"/>
  <c r="X9" i="2"/>
  <c r="Y9" i="2"/>
  <c r="A10" i="2"/>
  <c r="C10" i="2" s="1"/>
  <c r="B10" i="2"/>
  <c r="D10" i="2"/>
  <c r="F10" i="2"/>
  <c r="H10" i="2"/>
  <c r="I10" i="2"/>
  <c r="J10" i="2"/>
  <c r="K10" i="2"/>
  <c r="B487" i="3" s="1"/>
  <c r="M10" i="2"/>
  <c r="N10" i="2"/>
  <c r="O10" i="2"/>
  <c r="P10" i="2"/>
  <c r="B646" i="3" s="1"/>
  <c r="Q10" i="2"/>
  <c r="A646" i="3" s="1"/>
  <c r="R10" i="2"/>
  <c r="S10" i="2"/>
  <c r="T10" i="2"/>
  <c r="U10" i="2"/>
  <c r="B805" i="3" s="1"/>
  <c r="V10" i="2"/>
  <c r="A805" i="3" s="1"/>
  <c r="W10" i="2"/>
  <c r="X10" i="2"/>
  <c r="Y10" i="2"/>
  <c r="A11" i="2"/>
  <c r="L11" i="2" s="1"/>
  <c r="A488" i="3" s="1"/>
  <c r="B11" i="2"/>
  <c r="D11" i="2"/>
  <c r="E11" i="2"/>
  <c r="F11" i="2"/>
  <c r="B329" i="3" s="1"/>
  <c r="H11" i="2"/>
  <c r="I11" i="2"/>
  <c r="J11" i="2"/>
  <c r="K11" i="2"/>
  <c r="B488" i="3" s="1"/>
  <c r="M11" i="2"/>
  <c r="N11" i="2"/>
  <c r="O11" i="2"/>
  <c r="P11" i="2"/>
  <c r="B647" i="3" s="1"/>
  <c r="Q11" i="2"/>
  <c r="A647" i="3" s="1"/>
  <c r="R11" i="2"/>
  <c r="S11" i="2"/>
  <c r="T11" i="2"/>
  <c r="U11" i="2"/>
  <c r="B806" i="3" s="1"/>
  <c r="W11" i="2"/>
  <c r="X11" i="2"/>
  <c r="Y11" i="2"/>
  <c r="A12" i="2"/>
  <c r="V12" i="2" s="1"/>
  <c r="A807" i="3" s="1"/>
  <c r="B12" i="2"/>
  <c r="C12" i="2"/>
  <c r="D12" i="2"/>
  <c r="E12" i="2"/>
  <c r="F12" i="2"/>
  <c r="B330" i="3" s="1"/>
  <c r="G12" i="2"/>
  <c r="H12" i="2"/>
  <c r="I12" i="2"/>
  <c r="J12" i="2"/>
  <c r="K12" i="2"/>
  <c r="B489" i="3" s="1"/>
  <c r="M12" i="2"/>
  <c r="N12" i="2"/>
  <c r="O12" i="2"/>
  <c r="P12" i="2"/>
  <c r="B648" i="3" s="1"/>
  <c r="Q12" i="2"/>
  <c r="A648" i="3" s="1"/>
  <c r="R12" i="2"/>
  <c r="S12" i="2"/>
  <c r="T12" i="2"/>
  <c r="U12" i="2"/>
  <c r="B807" i="3" s="1"/>
  <c r="W12" i="2"/>
  <c r="X12" i="2"/>
  <c r="Y12" i="2"/>
  <c r="A13" i="2"/>
  <c r="V13" i="2" s="1"/>
  <c r="A808" i="3" s="1"/>
  <c r="B13" i="2"/>
  <c r="D13" i="2"/>
  <c r="F13" i="2"/>
  <c r="H13" i="2"/>
  <c r="I13" i="2"/>
  <c r="J13" i="2"/>
  <c r="K13" i="2"/>
  <c r="B490" i="3" s="1"/>
  <c r="M13" i="2"/>
  <c r="N13" i="2"/>
  <c r="O13" i="2"/>
  <c r="P13" i="2"/>
  <c r="B649" i="3" s="1"/>
  <c r="Q13" i="2"/>
  <c r="A649" i="3" s="1"/>
  <c r="R13" i="2"/>
  <c r="S13" i="2"/>
  <c r="T13" i="2"/>
  <c r="U13" i="2"/>
  <c r="B808" i="3" s="1"/>
  <c r="W13" i="2"/>
  <c r="X13" i="2"/>
  <c r="Y13" i="2"/>
  <c r="A14" i="2"/>
  <c r="V14" i="2" s="1"/>
  <c r="A809" i="3" s="1"/>
  <c r="B14" i="2"/>
  <c r="D14" i="2"/>
  <c r="F14" i="2"/>
  <c r="H14" i="2"/>
  <c r="I14" i="2"/>
  <c r="J14" i="2"/>
  <c r="K14" i="2"/>
  <c r="B491" i="3" s="1"/>
  <c r="M14" i="2"/>
  <c r="N14" i="2"/>
  <c r="O14" i="2"/>
  <c r="P14" i="2"/>
  <c r="B650" i="3" s="1"/>
  <c r="R14" i="2"/>
  <c r="S14" i="2"/>
  <c r="T14" i="2"/>
  <c r="U14" i="2"/>
  <c r="B809" i="3" s="1"/>
  <c r="W14" i="2"/>
  <c r="X14" i="2"/>
  <c r="Y14" i="2"/>
  <c r="A15" i="2"/>
  <c r="B15" i="2"/>
  <c r="D15" i="2"/>
  <c r="F15" i="2"/>
  <c r="B333" i="3" s="1"/>
  <c r="H15" i="2"/>
  <c r="I15" i="2"/>
  <c r="J15" i="2"/>
  <c r="K15" i="2"/>
  <c r="B492" i="3" s="1"/>
  <c r="M15" i="2"/>
  <c r="N15" i="2"/>
  <c r="O15" i="2"/>
  <c r="P15" i="2"/>
  <c r="B651" i="3" s="1"/>
  <c r="Q15" i="2"/>
  <c r="A651" i="3" s="1"/>
  <c r="R15" i="2"/>
  <c r="S15" i="2"/>
  <c r="T15" i="2"/>
  <c r="U15" i="2"/>
  <c r="B810" i="3" s="1"/>
  <c r="W15" i="2"/>
  <c r="X15" i="2"/>
  <c r="Y15" i="2"/>
  <c r="A16" i="2"/>
  <c r="B16" i="2"/>
  <c r="D16" i="2"/>
  <c r="F16" i="2"/>
  <c r="B334" i="3" s="1"/>
  <c r="H16" i="2"/>
  <c r="I16" i="2"/>
  <c r="J16" i="2"/>
  <c r="K16" i="2"/>
  <c r="B493" i="3" s="1"/>
  <c r="L16" i="2"/>
  <c r="A493" i="3" s="1"/>
  <c r="M16" i="2"/>
  <c r="N16" i="2"/>
  <c r="O16" i="2"/>
  <c r="P16" i="2"/>
  <c r="B652" i="3" s="1"/>
  <c r="R16" i="2"/>
  <c r="S16" i="2"/>
  <c r="T16" i="2"/>
  <c r="U16" i="2"/>
  <c r="B811" i="3" s="1"/>
  <c r="W16" i="2"/>
  <c r="X16" i="2"/>
  <c r="Y16" i="2"/>
  <c r="A17" i="2"/>
  <c r="V17" i="2" s="1"/>
  <c r="A812" i="3" s="1"/>
  <c r="B17" i="2"/>
  <c r="D17" i="2"/>
  <c r="E17" i="2"/>
  <c r="F17" i="2"/>
  <c r="H17" i="2"/>
  <c r="I17" i="2"/>
  <c r="J17" i="2"/>
  <c r="K17" i="2"/>
  <c r="B494" i="3" s="1"/>
  <c r="M17" i="2"/>
  <c r="N17" i="2"/>
  <c r="O17" i="2"/>
  <c r="P17" i="2"/>
  <c r="B653" i="3" s="1"/>
  <c r="Q17" i="2"/>
  <c r="A653" i="3" s="1"/>
  <c r="R17" i="2"/>
  <c r="S17" i="2"/>
  <c r="T17" i="2"/>
  <c r="U17" i="2"/>
  <c r="B812" i="3" s="1"/>
  <c r="W17" i="2"/>
  <c r="X17" i="2"/>
  <c r="Y17" i="2"/>
  <c r="A18" i="2"/>
  <c r="B18" i="2"/>
  <c r="D18" i="2"/>
  <c r="B177" i="3" s="1"/>
  <c r="F18" i="2"/>
  <c r="H18" i="2"/>
  <c r="I18" i="2"/>
  <c r="J18" i="2"/>
  <c r="K18" i="2"/>
  <c r="B495" i="3" s="1"/>
  <c r="L18" i="2"/>
  <c r="A495" i="3" s="1"/>
  <c r="M18" i="2"/>
  <c r="N18" i="2"/>
  <c r="O18" i="2"/>
  <c r="P18" i="2"/>
  <c r="B654" i="3" s="1"/>
  <c r="R18" i="2"/>
  <c r="S18" i="2"/>
  <c r="T18" i="2"/>
  <c r="U18" i="2"/>
  <c r="B813" i="3" s="1"/>
  <c r="W18" i="2"/>
  <c r="X18" i="2"/>
  <c r="Y18" i="2"/>
  <c r="A19" i="2"/>
  <c r="B19" i="2"/>
  <c r="D19" i="2"/>
  <c r="B178" i="3" s="1"/>
  <c r="F19" i="2"/>
  <c r="B337" i="3" s="1"/>
  <c r="H19" i="2"/>
  <c r="I19" i="2"/>
  <c r="J19" i="2"/>
  <c r="K19" i="2"/>
  <c r="B496" i="3" s="1"/>
  <c r="M19" i="2"/>
  <c r="N19" i="2"/>
  <c r="O19" i="2"/>
  <c r="P19" i="2"/>
  <c r="B655" i="3" s="1"/>
  <c r="Q19" i="2"/>
  <c r="A655" i="3" s="1"/>
  <c r="R19" i="2"/>
  <c r="S19" i="2"/>
  <c r="T19" i="2"/>
  <c r="U19" i="2"/>
  <c r="B814" i="3" s="1"/>
  <c r="W19" i="2"/>
  <c r="X19" i="2"/>
  <c r="Y19" i="2"/>
  <c r="A20" i="2"/>
  <c r="L20" i="2" s="1"/>
  <c r="A497" i="3" s="1"/>
  <c r="B20" i="2"/>
  <c r="D20" i="2"/>
  <c r="F20" i="2"/>
  <c r="B338" i="3" s="1"/>
  <c r="H20" i="2"/>
  <c r="I20" i="2"/>
  <c r="J20" i="2"/>
  <c r="K20" i="2"/>
  <c r="B497" i="3" s="1"/>
  <c r="M20" i="2"/>
  <c r="N20" i="2"/>
  <c r="O20" i="2"/>
  <c r="P20" i="2"/>
  <c r="B656" i="3" s="1"/>
  <c r="R20" i="2"/>
  <c r="S20" i="2"/>
  <c r="T20" i="2"/>
  <c r="U20" i="2"/>
  <c r="B815" i="3" s="1"/>
  <c r="W20" i="2"/>
  <c r="X20" i="2"/>
  <c r="Y20" i="2"/>
  <c r="A21" i="2"/>
  <c r="C21" i="2" s="1"/>
  <c r="B21" i="2"/>
  <c r="D21" i="2"/>
  <c r="E21" i="2"/>
  <c r="F21" i="2"/>
  <c r="G21" i="2"/>
  <c r="H21" i="2"/>
  <c r="I21" i="2"/>
  <c r="J21" i="2"/>
  <c r="K21" i="2"/>
  <c r="B498" i="3" s="1"/>
  <c r="M21" i="2"/>
  <c r="N21" i="2"/>
  <c r="O21" i="2"/>
  <c r="P21" i="2"/>
  <c r="B657" i="3" s="1"/>
  <c r="R21" i="2"/>
  <c r="S21" i="2"/>
  <c r="T21" i="2"/>
  <c r="U21" i="2"/>
  <c r="B816" i="3" s="1"/>
  <c r="W21" i="2"/>
  <c r="X21" i="2"/>
  <c r="Y21" i="2"/>
  <c r="A22" i="2"/>
  <c r="E22" i="2" s="1"/>
  <c r="B22" i="2"/>
  <c r="D22" i="2"/>
  <c r="B181" i="3" s="1"/>
  <c r="F22" i="2"/>
  <c r="H22" i="2"/>
  <c r="I22" i="2"/>
  <c r="J22" i="2"/>
  <c r="K22" i="2"/>
  <c r="B499" i="3" s="1"/>
  <c r="M22" i="2"/>
  <c r="N22" i="2"/>
  <c r="O22" i="2"/>
  <c r="P22" i="2"/>
  <c r="B658" i="3" s="1"/>
  <c r="R22" i="2"/>
  <c r="S22" i="2"/>
  <c r="T22" i="2"/>
  <c r="U22" i="2"/>
  <c r="B817" i="3" s="1"/>
  <c r="W22" i="2"/>
  <c r="X22" i="2"/>
  <c r="Y22" i="2"/>
  <c r="A23" i="2"/>
  <c r="B23" i="2"/>
  <c r="D23" i="2"/>
  <c r="B182" i="3" s="1"/>
  <c r="F23" i="2"/>
  <c r="B341" i="3" s="1"/>
  <c r="H23" i="2"/>
  <c r="I23" i="2"/>
  <c r="J23" i="2"/>
  <c r="K23" i="2"/>
  <c r="B500" i="3" s="1"/>
  <c r="M23" i="2"/>
  <c r="N23" i="2"/>
  <c r="O23" i="2"/>
  <c r="P23" i="2"/>
  <c r="B659" i="3" s="1"/>
  <c r="Q23" i="2"/>
  <c r="A659" i="3" s="1"/>
  <c r="R23" i="2"/>
  <c r="S23" i="2"/>
  <c r="T23" i="2"/>
  <c r="U23" i="2"/>
  <c r="B818" i="3" s="1"/>
  <c r="W23" i="2"/>
  <c r="X23" i="2"/>
  <c r="Y23" i="2"/>
  <c r="A24" i="2"/>
  <c r="E24" i="2" s="1"/>
  <c r="B24" i="2"/>
  <c r="D24" i="2"/>
  <c r="F24" i="2"/>
  <c r="B342" i="3" s="1"/>
  <c r="H24" i="2"/>
  <c r="I24" i="2"/>
  <c r="J24" i="2"/>
  <c r="K24" i="2"/>
  <c r="B501" i="3" s="1"/>
  <c r="L24" i="2"/>
  <c r="A501" i="3" s="1"/>
  <c r="M24" i="2"/>
  <c r="N24" i="2"/>
  <c r="O24" i="2"/>
  <c r="P24" i="2"/>
  <c r="B660" i="3" s="1"/>
  <c r="R24" i="2"/>
  <c r="S24" i="2"/>
  <c r="T24" i="2"/>
  <c r="U24" i="2"/>
  <c r="B819" i="3" s="1"/>
  <c r="V24" i="2"/>
  <c r="A819" i="3" s="1"/>
  <c r="W24" i="2"/>
  <c r="X24" i="2"/>
  <c r="Y24" i="2"/>
  <c r="A25" i="2"/>
  <c r="C25" i="2" s="1"/>
  <c r="B25" i="2"/>
  <c r="D25" i="2"/>
  <c r="F25" i="2"/>
  <c r="H25" i="2"/>
  <c r="I25" i="2"/>
  <c r="J25" i="2"/>
  <c r="K25" i="2"/>
  <c r="B502" i="3" s="1"/>
  <c r="M25" i="2"/>
  <c r="N25" i="2"/>
  <c r="O25" i="2"/>
  <c r="P25" i="2"/>
  <c r="B661" i="3" s="1"/>
  <c r="R25" i="2"/>
  <c r="S25" i="2"/>
  <c r="T25" i="2"/>
  <c r="U25" i="2"/>
  <c r="B820" i="3" s="1"/>
  <c r="W25" i="2"/>
  <c r="X25" i="2"/>
  <c r="Y25" i="2"/>
  <c r="A26" i="2"/>
  <c r="E26" i="2" s="1"/>
  <c r="B26" i="2"/>
  <c r="D26" i="2"/>
  <c r="B185" i="3" s="1"/>
  <c r="F26" i="2"/>
  <c r="H26" i="2"/>
  <c r="I26" i="2"/>
  <c r="J26" i="2"/>
  <c r="K26" i="2"/>
  <c r="B503" i="3" s="1"/>
  <c r="M26" i="2"/>
  <c r="N26" i="2"/>
  <c r="O26" i="2"/>
  <c r="P26" i="2"/>
  <c r="B662" i="3" s="1"/>
  <c r="R26" i="2"/>
  <c r="S26" i="2"/>
  <c r="T26" i="2"/>
  <c r="U26" i="2"/>
  <c r="B821" i="3" s="1"/>
  <c r="W26" i="2"/>
  <c r="X26" i="2"/>
  <c r="Y26" i="2"/>
  <c r="A27" i="2"/>
  <c r="B27" i="2"/>
  <c r="D27" i="2"/>
  <c r="B186" i="3" s="1"/>
  <c r="F27" i="2"/>
  <c r="B345" i="3" s="1"/>
  <c r="H27" i="2"/>
  <c r="I27" i="2"/>
  <c r="J27" i="2"/>
  <c r="K27" i="2"/>
  <c r="B504" i="3" s="1"/>
  <c r="M27" i="2"/>
  <c r="N27" i="2"/>
  <c r="O27" i="2"/>
  <c r="P27" i="2"/>
  <c r="B663" i="3" s="1"/>
  <c r="Q27" i="2"/>
  <c r="A663" i="3" s="1"/>
  <c r="R27" i="2"/>
  <c r="S27" i="2"/>
  <c r="T27" i="2"/>
  <c r="U27" i="2"/>
  <c r="B822" i="3" s="1"/>
  <c r="W27" i="2"/>
  <c r="X27" i="2"/>
  <c r="Y27" i="2"/>
  <c r="A28" i="2"/>
  <c r="V28" i="2" s="1"/>
  <c r="A823" i="3" s="1"/>
  <c r="B28" i="2"/>
  <c r="D28" i="2"/>
  <c r="F28" i="2"/>
  <c r="B346" i="3" s="1"/>
  <c r="H28" i="2"/>
  <c r="I28" i="2"/>
  <c r="J28" i="2"/>
  <c r="K28" i="2"/>
  <c r="B505" i="3" s="1"/>
  <c r="M28" i="2"/>
  <c r="N28" i="2"/>
  <c r="O28" i="2"/>
  <c r="P28" i="2"/>
  <c r="B664" i="3" s="1"/>
  <c r="R28" i="2"/>
  <c r="S28" i="2"/>
  <c r="T28" i="2"/>
  <c r="U28" i="2"/>
  <c r="B823" i="3" s="1"/>
  <c r="W28" i="2"/>
  <c r="X28" i="2"/>
  <c r="Y28" i="2"/>
  <c r="A29" i="2"/>
  <c r="C29" i="2" s="1"/>
  <c r="B29" i="2"/>
  <c r="D29" i="2"/>
  <c r="E29" i="2"/>
  <c r="F29" i="2"/>
  <c r="H29" i="2"/>
  <c r="I29" i="2"/>
  <c r="J29" i="2"/>
  <c r="K29" i="2"/>
  <c r="B506" i="3" s="1"/>
  <c r="M29" i="2"/>
  <c r="N29" i="2"/>
  <c r="O29" i="2"/>
  <c r="P29" i="2"/>
  <c r="B665" i="3" s="1"/>
  <c r="R29" i="2"/>
  <c r="S29" i="2"/>
  <c r="T29" i="2"/>
  <c r="U29" i="2"/>
  <c r="B824" i="3" s="1"/>
  <c r="W29" i="2"/>
  <c r="X29" i="2"/>
  <c r="Y29" i="2"/>
  <c r="A30" i="2"/>
  <c r="B30" i="2"/>
  <c r="D30" i="2"/>
  <c r="B189" i="3" s="1"/>
  <c r="E30" i="2"/>
  <c r="F30" i="2"/>
  <c r="H30" i="2"/>
  <c r="I30" i="2"/>
  <c r="J30" i="2"/>
  <c r="K30" i="2"/>
  <c r="B507" i="3" s="1"/>
  <c r="L30" i="2"/>
  <c r="A507" i="3" s="1"/>
  <c r="M30" i="2"/>
  <c r="N30" i="2"/>
  <c r="O30" i="2"/>
  <c r="P30" i="2"/>
  <c r="B666" i="3" s="1"/>
  <c r="R30" i="2"/>
  <c r="S30" i="2"/>
  <c r="T30" i="2"/>
  <c r="U30" i="2"/>
  <c r="B825" i="3" s="1"/>
  <c r="V30" i="2"/>
  <c r="A825" i="3" s="1"/>
  <c r="W30" i="2"/>
  <c r="X30" i="2"/>
  <c r="Y30" i="2"/>
  <c r="A31" i="2"/>
  <c r="B31" i="2"/>
  <c r="D31" i="2"/>
  <c r="B190" i="3" s="1"/>
  <c r="F31" i="2"/>
  <c r="B349" i="3" s="1"/>
  <c r="H31" i="2"/>
  <c r="I31" i="2"/>
  <c r="J31" i="2"/>
  <c r="K31" i="2"/>
  <c r="B508" i="3" s="1"/>
  <c r="M31" i="2"/>
  <c r="N31" i="2"/>
  <c r="O31" i="2"/>
  <c r="P31" i="2"/>
  <c r="B667" i="3" s="1"/>
  <c r="Q31" i="2"/>
  <c r="A667" i="3" s="1"/>
  <c r="R31" i="2"/>
  <c r="S31" i="2"/>
  <c r="T31" i="2"/>
  <c r="U31" i="2"/>
  <c r="B826" i="3" s="1"/>
  <c r="W31" i="2"/>
  <c r="X31" i="2"/>
  <c r="Y31" i="2"/>
  <c r="A32" i="2"/>
  <c r="B32" i="2"/>
  <c r="D32" i="2"/>
  <c r="E32" i="2"/>
  <c r="F32" i="2"/>
  <c r="B350" i="3" s="1"/>
  <c r="H32" i="2"/>
  <c r="I32" i="2"/>
  <c r="J32" i="2"/>
  <c r="K32" i="2"/>
  <c r="B509" i="3" s="1"/>
  <c r="L32" i="2"/>
  <c r="A509" i="3" s="1"/>
  <c r="M32" i="2"/>
  <c r="N32" i="2"/>
  <c r="O32" i="2"/>
  <c r="P32" i="2"/>
  <c r="B668" i="3" s="1"/>
  <c r="R32" i="2"/>
  <c r="S32" i="2"/>
  <c r="T32" i="2"/>
  <c r="U32" i="2"/>
  <c r="B827" i="3" s="1"/>
  <c r="V32" i="2"/>
  <c r="A827" i="3" s="1"/>
  <c r="W32" i="2"/>
  <c r="X32" i="2"/>
  <c r="Y32" i="2"/>
  <c r="A33" i="2"/>
  <c r="C33" i="2" s="1"/>
  <c r="B33" i="2"/>
  <c r="D33" i="2"/>
  <c r="E33" i="2"/>
  <c r="F33" i="2"/>
  <c r="H33" i="2"/>
  <c r="I33" i="2"/>
  <c r="J33" i="2"/>
  <c r="K33" i="2"/>
  <c r="B510" i="3" s="1"/>
  <c r="M33" i="2"/>
  <c r="N33" i="2"/>
  <c r="O33" i="2"/>
  <c r="P33" i="2"/>
  <c r="B669" i="3" s="1"/>
  <c r="R33" i="2"/>
  <c r="S33" i="2"/>
  <c r="T33" i="2"/>
  <c r="U33" i="2"/>
  <c r="B828" i="3" s="1"/>
  <c r="W33" i="2"/>
  <c r="X33" i="2"/>
  <c r="Y33" i="2"/>
  <c r="A34" i="2"/>
  <c r="B34" i="2"/>
  <c r="D34" i="2"/>
  <c r="B193" i="3" s="1"/>
  <c r="E34" i="2"/>
  <c r="F34" i="2"/>
  <c r="H34" i="2"/>
  <c r="I34" i="2"/>
  <c r="J34" i="2"/>
  <c r="K34" i="2"/>
  <c r="B511" i="3" s="1"/>
  <c r="L34" i="2"/>
  <c r="A511" i="3" s="1"/>
  <c r="M34" i="2"/>
  <c r="N34" i="2"/>
  <c r="O34" i="2"/>
  <c r="P34" i="2"/>
  <c r="B670" i="3" s="1"/>
  <c r="R34" i="2"/>
  <c r="S34" i="2"/>
  <c r="T34" i="2"/>
  <c r="U34" i="2"/>
  <c r="B829" i="3" s="1"/>
  <c r="V34" i="2"/>
  <c r="A829" i="3" s="1"/>
  <c r="W34" i="2"/>
  <c r="X34" i="2"/>
  <c r="Y34" i="2"/>
  <c r="A35" i="2"/>
  <c r="B35" i="2"/>
  <c r="D35" i="2"/>
  <c r="B194" i="3" s="1"/>
  <c r="F35" i="2"/>
  <c r="B353" i="3" s="1"/>
  <c r="H35" i="2"/>
  <c r="I35" i="2"/>
  <c r="J35" i="2"/>
  <c r="K35" i="2"/>
  <c r="B512" i="3" s="1"/>
  <c r="M35" i="2"/>
  <c r="N35" i="2"/>
  <c r="O35" i="2"/>
  <c r="P35" i="2"/>
  <c r="B671" i="3" s="1"/>
  <c r="Q35" i="2"/>
  <c r="A671" i="3" s="1"/>
  <c r="R35" i="2"/>
  <c r="S35" i="2"/>
  <c r="T35" i="2"/>
  <c r="U35" i="2"/>
  <c r="B830" i="3" s="1"/>
  <c r="W35" i="2"/>
  <c r="X35" i="2"/>
  <c r="Y35" i="2"/>
  <c r="A36" i="2"/>
  <c r="V36" i="2" s="1"/>
  <c r="A831" i="3" s="1"/>
  <c r="B36" i="2"/>
  <c r="D36" i="2"/>
  <c r="E36" i="2"/>
  <c r="F36" i="2"/>
  <c r="B354" i="3" s="1"/>
  <c r="H36" i="2"/>
  <c r="I36" i="2"/>
  <c r="J36" i="2"/>
  <c r="K36" i="2"/>
  <c r="B513" i="3" s="1"/>
  <c r="L36" i="2"/>
  <c r="A513" i="3" s="1"/>
  <c r="M36" i="2"/>
  <c r="N36" i="2"/>
  <c r="O36" i="2"/>
  <c r="P36" i="2"/>
  <c r="B672" i="3" s="1"/>
  <c r="R36" i="2"/>
  <c r="S36" i="2"/>
  <c r="T36" i="2"/>
  <c r="U36" i="2"/>
  <c r="B831" i="3" s="1"/>
  <c r="W36" i="2"/>
  <c r="X36" i="2"/>
  <c r="Y36" i="2"/>
  <c r="A37" i="2"/>
  <c r="C37" i="2" s="1"/>
  <c r="B37" i="2"/>
  <c r="D37" i="2"/>
  <c r="E37" i="2"/>
  <c r="F37" i="2"/>
  <c r="H37" i="2"/>
  <c r="I37" i="2"/>
  <c r="J37" i="2"/>
  <c r="K37" i="2"/>
  <c r="B514" i="3" s="1"/>
  <c r="M37" i="2"/>
  <c r="N37" i="2"/>
  <c r="O37" i="2"/>
  <c r="P37" i="2"/>
  <c r="B673" i="3" s="1"/>
  <c r="R37" i="2"/>
  <c r="S37" i="2"/>
  <c r="T37" i="2"/>
  <c r="U37" i="2"/>
  <c r="B832" i="3" s="1"/>
  <c r="W37" i="2"/>
  <c r="X37" i="2"/>
  <c r="Y37" i="2"/>
  <c r="A38" i="2"/>
  <c r="L38" i="2" s="1"/>
  <c r="A515" i="3" s="1"/>
  <c r="B38" i="2"/>
  <c r="D38" i="2"/>
  <c r="B197" i="3" s="1"/>
  <c r="F38" i="2"/>
  <c r="H38" i="2"/>
  <c r="I38" i="2"/>
  <c r="J38" i="2"/>
  <c r="K38" i="2"/>
  <c r="B515" i="3" s="1"/>
  <c r="M38" i="2"/>
  <c r="N38" i="2"/>
  <c r="O38" i="2"/>
  <c r="P38" i="2"/>
  <c r="B674" i="3" s="1"/>
  <c r="R38" i="2"/>
  <c r="S38" i="2"/>
  <c r="T38" i="2"/>
  <c r="U38" i="2"/>
  <c r="B833" i="3" s="1"/>
  <c r="V38" i="2"/>
  <c r="A833" i="3" s="1"/>
  <c r="W38" i="2"/>
  <c r="X38" i="2"/>
  <c r="Y38" i="2"/>
  <c r="A39" i="2"/>
  <c r="B39" i="2"/>
  <c r="D39" i="2"/>
  <c r="B198" i="3" s="1"/>
  <c r="F39" i="2"/>
  <c r="B357" i="3" s="1"/>
  <c r="H39" i="2"/>
  <c r="I39" i="2"/>
  <c r="J39" i="2"/>
  <c r="K39" i="2"/>
  <c r="B516" i="3" s="1"/>
  <c r="M39" i="2"/>
  <c r="N39" i="2"/>
  <c r="O39" i="2"/>
  <c r="P39" i="2"/>
  <c r="B675" i="3" s="1"/>
  <c r="Q39" i="2"/>
  <c r="A675" i="3" s="1"/>
  <c r="R39" i="2"/>
  <c r="S39" i="2"/>
  <c r="T39" i="2"/>
  <c r="U39" i="2"/>
  <c r="B834" i="3" s="1"/>
  <c r="W39" i="2"/>
  <c r="X39" i="2"/>
  <c r="Y39" i="2"/>
  <c r="A40" i="2"/>
  <c r="E40" i="2" s="1"/>
  <c r="B40" i="2"/>
  <c r="D40" i="2"/>
  <c r="F40" i="2"/>
  <c r="B358" i="3" s="1"/>
  <c r="H40" i="2"/>
  <c r="I40" i="2"/>
  <c r="J40" i="2"/>
  <c r="K40" i="2"/>
  <c r="B517" i="3" s="1"/>
  <c r="M40" i="2"/>
  <c r="N40" i="2"/>
  <c r="O40" i="2"/>
  <c r="P40" i="2"/>
  <c r="B676" i="3" s="1"/>
  <c r="R40" i="2"/>
  <c r="S40" i="2"/>
  <c r="T40" i="2"/>
  <c r="U40" i="2"/>
  <c r="B835" i="3" s="1"/>
  <c r="W40" i="2"/>
  <c r="X40" i="2"/>
  <c r="Y40" i="2"/>
  <c r="A41" i="2"/>
  <c r="C41" i="2" s="1"/>
  <c r="B41" i="2"/>
  <c r="D41" i="2"/>
  <c r="F41" i="2"/>
  <c r="H41" i="2"/>
  <c r="I41" i="2"/>
  <c r="J41" i="2"/>
  <c r="K41" i="2"/>
  <c r="B518" i="3" s="1"/>
  <c r="M41" i="2"/>
  <c r="N41" i="2"/>
  <c r="O41" i="2"/>
  <c r="P41" i="2"/>
  <c r="B677" i="3" s="1"/>
  <c r="R41" i="2"/>
  <c r="S41" i="2"/>
  <c r="T41" i="2"/>
  <c r="U41" i="2"/>
  <c r="B836" i="3" s="1"/>
  <c r="W41" i="2"/>
  <c r="X41" i="2"/>
  <c r="Y41" i="2"/>
  <c r="A42" i="2"/>
  <c r="C42" i="2" s="1"/>
  <c r="B42" i="2"/>
  <c r="D42" i="2"/>
  <c r="B201" i="3" s="1"/>
  <c r="F42" i="2"/>
  <c r="H42" i="2"/>
  <c r="I42" i="2"/>
  <c r="J42" i="2"/>
  <c r="K42" i="2"/>
  <c r="B519" i="3" s="1"/>
  <c r="M42" i="2"/>
  <c r="N42" i="2"/>
  <c r="O42" i="2"/>
  <c r="P42" i="2"/>
  <c r="B678" i="3" s="1"/>
  <c r="Q42" i="2"/>
  <c r="A678" i="3" s="1"/>
  <c r="R42" i="2"/>
  <c r="S42" i="2"/>
  <c r="T42" i="2"/>
  <c r="U42" i="2"/>
  <c r="B837" i="3" s="1"/>
  <c r="W42" i="2"/>
  <c r="X42" i="2"/>
  <c r="Y42" i="2"/>
  <c r="A43" i="2"/>
  <c r="B43" i="2"/>
  <c r="D43" i="2"/>
  <c r="B202" i="3" s="1"/>
  <c r="F43" i="2"/>
  <c r="B361" i="3" s="1"/>
  <c r="H43" i="2"/>
  <c r="I43" i="2"/>
  <c r="J43" i="2"/>
  <c r="K43" i="2"/>
  <c r="B520" i="3" s="1"/>
  <c r="M43" i="2"/>
  <c r="N43" i="2"/>
  <c r="O43" i="2"/>
  <c r="P43" i="2"/>
  <c r="B679" i="3" s="1"/>
  <c r="R43" i="2"/>
  <c r="S43" i="2"/>
  <c r="T43" i="2"/>
  <c r="U43" i="2"/>
  <c r="B838" i="3" s="1"/>
  <c r="W43" i="2"/>
  <c r="X43" i="2"/>
  <c r="Y43" i="2"/>
  <c r="A44" i="2"/>
  <c r="L44" i="2" s="1"/>
  <c r="A521" i="3" s="1"/>
  <c r="B44" i="2"/>
  <c r="D44" i="2"/>
  <c r="E44" i="2"/>
  <c r="F44" i="2"/>
  <c r="B362" i="3" s="1"/>
  <c r="H44" i="2"/>
  <c r="I44" i="2"/>
  <c r="J44" i="2"/>
  <c r="K44" i="2"/>
  <c r="B521" i="3" s="1"/>
  <c r="M44" i="2"/>
  <c r="N44" i="2"/>
  <c r="O44" i="2"/>
  <c r="P44" i="2"/>
  <c r="B680" i="3" s="1"/>
  <c r="Q44" i="2"/>
  <c r="A680" i="3" s="1"/>
  <c r="R44" i="2"/>
  <c r="S44" i="2"/>
  <c r="T44" i="2"/>
  <c r="U44" i="2"/>
  <c r="B839" i="3" s="1"/>
  <c r="W44" i="2"/>
  <c r="X44" i="2"/>
  <c r="Y44" i="2"/>
  <c r="A45" i="2"/>
  <c r="B45" i="2"/>
  <c r="C45" i="2"/>
  <c r="D45" i="2"/>
  <c r="E45" i="2"/>
  <c r="F45" i="2"/>
  <c r="G45" i="2"/>
  <c r="H45" i="2"/>
  <c r="I45" i="2"/>
  <c r="J45" i="2"/>
  <c r="K45" i="2"/>
  <c r="B522" i="3" s="1"/>
  <c r="M45" i="2"/>
  <c r="N45" i="2"/>
  <c r="O45" i="2"/>
  <c r="P45" i="2"/>
  <c r="B681" i="3" s="1"/>
  <c r="R45" i="2"/>
  <c r="S45" i="2"/>
  <c r="T45" i="2"/>
  <c r="U45" i="2"/>
  <c r="B840" i="3" s="1"/>
  <c r="W45" i="2"/>
  <c r="X45" i="2"/>
  <c r="Y45" i="2"/>
  <c r="A46" i="2"/>
  <c r="C46" i="2" s="1"/>
  <c r="B46" i="2"/>
  <c r="D46" i="2"/>
  <c r="B205" i="3" s="1"/>
  <c r="E46" i="2"/>
  <c r="F46" i="2"/>
  <c r="H46" i="2"/>
  <c r="I46" i="2"/>
  <c r="J46" i="2"/>
  <c r="K46" i="2"/>
  <c r="B523" i="3" s="1"/>
  <c r="L46" i="2"/>
  <c r="A523" i="3" s="1"/>
  <c r="M46" i="2"/>
  <c r="N46" i="2"/>
  <c r="O46" i="2"/>
  <c r="P46" i="2"/>
  <c r="B682" i="3" s="1"/>
  <c r="R46" i="2"/>
  <c r="S46" i="2"/>
  <c r="T46" i="2"/>
  <c r="U46" i="2"/>
  <c r="B841" i="3" s="1"/>
  <c r="V46" i="2"/>
  <c r="A841" i="3" s="1"/>
  <c r="W46" i="2"/>
  <c r="X46" i="2"/>
  <c r="Y46" i="2"/>
  <c r="A47" i="2"/>
  <c r="B47" i="2"/>
  <c r="D47" i="2"/>
  <c r="B206" i="3" s="1"/>
  <c r="F47" i="2"/>
  <c r="B365" i="3" s="1"/>
  <c r="H47" i="2"/>
  <c r="I47" i="2"/>
  <c r="J47" i="2"/>
  <c r="K47" i="2"/>
  <c r="B524" i="3" s="1"/>
  <c r="M47" i="2"/>
  <c r="N47" i="2"/>
  <c r="O47" i="2"/>
  <c r="P47" i="2"/>
  <c r="B683" i="3" s="1"/>
  <c r="R47" i="2"/>
  <c r="S47" i="2"/>
  <c r="T47" i="2"/>
  <c r="U47" i="2"/>
  <c r="B842" i="3" s="1"/>
  <c r="W47" i="2"/>
  <c r="X47" i="2"/>
  <c r="Y47" i="2"/>
  <c r="A48" i="2"/>
  <c r="B48" i="2"/>
  <c r="C48" i="2"/>
  <c r="D48" i="2"/>
  <c r="E48" i="2"/>
  <c r="F48" i="2"/>
  <c r="B366" i="3" s="1"/>
  <c r="G48" i="2"/>
  <c r="H48" i="2"/>
  <c r="I48" i="2"/>
  <c r="J48" i="2"/>
  <c r="K48" i="2"/>
  <c r="B525" i="3" s="1"/>
  <c r="L48" i="2"/>
  <c r="A525" i="3" s="1"/>
  <c r="M48" i="2"/>
  <c r="N48" i="2"/>
  <c r="O48" i="2"/>
  <c r="P48" i="2"/>
  <c r="B684" i="3" s="1"/>
  <c r="Q48" i="2"/>
  <c r="A684" i="3" s="1"/>
  <c r="R48" i="2"/>
  <c r="S48" i="2"/>
  <c r="T48" i="2"/>
  <c r="U48" i="2"/>
  <c r="B843" i="3" s="1"/>
  <c r="V48" i="2"/>
  <c r="A843" i="3" s="1"/>
  <c r="W48" i="2"/>
  <c r="X48" i="2"/>
  <c r="Y48" i="2"/>
  <c r="A49" i="2"/>
  <c r="C49" i="2" s="1"/>
  <c r="B49" i="2"/>
  <c r="D49" i="2"/>
  <c r="F49" i="2"/>
  <c r="H49" i="2"/>
  <c r="I49" i="2"/>
  <c r="J49" i="2"/>
  <c r="K49" i="2"/>
  <c r="B526" i="3" s="1"/>
  <c r="M49" i="2"/>
  <c r="N49" i="2"/>
  <c r="O49" i="2"/>
  <c r="P49" i="2"/>
  <c r="B685" i="3" s="1"/>
  <c r="R49" i="2"/>
  <c r="S49" i="2"/>
  <c r="T49" i="2"/>
  <c r="U49" i="2"/>
  <c r="B844" i="3" s="1"/>
  <c r="W49" i="2"/>
  <c r="X49" i="2"/>
  <c r="Y49" i="2"/>
  <c r="A50" i="2"/>
  <c r="C50" i="2" s="1"/>
  <c r="B50" i="2"/>
  <c r="D50" i="2"/>
  <c r="B209" i="3" s="1"/>
  <c r="F50" i="2"/>
  <c r="H50" i="2"/>
  <c r="I50" i="2"/>
  <c r="J50" i="2"/>
  <c r="K50" i="2"/>
  <c r="B527" i="3" s="1"/>
  <c r="M50" i="2"/>
  <c r="N50" i="2"/>
  <c r="O50" i="2"/>
  <c r="P50" i="2"/>
  <c r="B686" i="3" s="1"/>
  <c r="Q50" i="2"/>
  <c r="A686" i="3" s="1"/>
  <c r="R50" i="2"/>
  <c r="S50" i="2"/>
  <c r="T50" i="2"/>
  <c r="U50" i="2"/>
  <c r="B845" i="3" s="1"/>
  <c r="W50" i="2"/>
  <c r="X50" i="2"/>
  <c r="Y50" i="2"/>
  <c r="A51" i="2"/>
  <c r="B51" i="2"/>
  <c r="D51" i="2"/>
  <c r="B210" i="3" s="1"/>
  <c r="F51" i="2"/>
  <c r="B369" i="3" s="1"/>
  <c r="H51" i="2"/>
  <c r="I51" i="2"/>
  <c r="J51" i="2"/>
  <c r="K51" i="2"/>
  <c r="B528" i="3" s="1"/>
  <c r="M51" i="2"/>
  <c r="N51" i="2"/>
  <c r="O51" i="2"/>
  <c r="P51" i="2"/>
  <c r="B687" i="3" s="1"/>
  <c r="R51" i="2"/>
  <c r="S51" i="2"/>
  <c r="T51" i="2"/>
  <c r="U51" i="2"/>
  <c r="B846" i="3" s="1"/>
  <c r="W51" i="2"/>
  <c r="X51" i="2"/>
  <c r="Y51" i="2"/>
  <c r="A52" i="2"/>
  <c r="L52" i="2" s="1"/>
  <c r="A529" i="3" s="1"/>
  <c r="B52" i="2"/>
  <c r="D52" i="2"/>
  <c r="E52" i="2"/>
  <c r="F52" i="2"/>
  <c r="B370" i="3" s="1"/>
  <c r="H52" i="2"/>
  <c r="I52" i="2"/>
  <c r="J52" i="2"/>
  <c r="K52" i="2"/>
  <c r="B529" i="3" s="1"/>
  <c r="M52" i="2"/>
  <c r="N52" i="2"/>
  <c r="O52" i="2"/>
  <c r="P52" i="2"/>
  <c r="B688" i="3" s="1"/>
  <c r="Q52" i="2"/>
  <c r="A688" i="3" s="1"/>
  <c r="R52" i="2"/>
  <c r="S52" i="2"/>
  <c r="T52" i="2"/>
  <c r="U52" i="2"/>
  <c r="B847" i="3" s="1"/>
  <c r="W52" i="2"/>
  <c r="X52" i="2"/>
  <c r="Y52" i="2"/>
  <c r="A53" i="2"/>
  <c r="B53" i="2"/>
  <c r="C53" i="2"/>
  <c r="D53" i="2"/>
  <c r="E53" i="2"/>
  <c r="F53" i="2"/>
  <c r="G53" i="2"/>
  <c r="H53" i="2"/>
  <c r="I53" i="2"/>
  <c r="J53" i="2"/>
  <c r="K53" i="2"/>
  <c r="B530" i="3" s="1"/>
  <c r="M53" i="2"/>
  <c r="N53" i="2"/>
  <c r="O53" i="2"/>
  <c r="P53" i="2"/>
  <c r="B689" i="3" s="1"/>
  <c r="R53" i="2"/>
  <c r="S53" i="2"/>
  <c r="T53" i="2"/>
  <c r="U53" i="2"/>
  <c r="B848" i="3" s="1"/>
  <c r="W53" i="2"/>
  <c r="X53" i="2"/>
  <c r="Y53" i="2"/>
  <c r="A54" i="2"/>
  <c r="C54" i="2" s="1"/>
  <c r="B54" i="2"/>
  <c r="D54" i="2"/>
  <c r="B213" i="3" s="1"/>
  <c r="E54" i="2"/>
  <c r="F54" i="2"/>
  <c r="H54" i="2"/>
  <c r="I54" i="2"/>
  <c r="J54" i="2"/>
  <c r="K54" i="2"/>
  <c r="B531" i="3" s="1"/>
  <c r="L54" i="2"/>
  <c r="A531" i="3" s="1"/>
  <c r="M54" i="2"/>
  <c r="N54" i="2"/>
  <c r="O54" i="2"/>
  <c r="P54" i="2"/>
  <c r="B690" i="3" s="1"/>
  <c r="R54" i="2"/>
  <c r="S54" i="2"/>
  <c r="T54" i="2"/>
  <c r="U54" i="2"/>
  <c r="B849" i="3" s="1"/>
  <c r="V54" i="2"/>
  <c r="A849" i="3" s="1"/>
  <c r="W54" i="2"/>
  <c r="X54" i="2"/>
  <c r="Y54" i="2"/>
  <c r="A55" i="2"/>
  <c r="B55" i="2"/>
  <c r="D55" i="2"/>
  <c r="B214" i="3" s="1"/>
  <c r="F55" i="2"/>
  <c r="B373" i="3" s="1"/>
  <c r="H55" i="2"/>
  <c r="I55" i="2"/>
  <c r="J55" i="2"/>
  <c r="K55" i="2"/>
  <c r="B532" i="3" s="1"/>
  <c r="M55" i="2"/>
  <c r="N55" i="2"/>
  <c r="O55" i="2"/>
  <c r="P55" i="2"/>
  <c r="B691" i="3" s="1"/>
  <c r="R55" i="2"/>
  <c r="S55" i="2"/>
  <c r="T55" i="2"/>
  <c r="U55" i="2"/>
  <c r="B850" i="3" s="1"/>
  <c r="W55" i="2"/>
  <c r="X55" i="2"/>
  <c r="Y55" i="2"/>
  <c r="A56" i="2"/>
  <c r="B56" i="2"/>
  <c r="C56" i="2"/>
  <c r="D56" i="2"/>
  <c r="E56" i="2"/>
  <c r="F56" i="2"/>
  <c r="B374" i="3" s="1"/>
  <c r="G56" i="2"/>
  <c r="H56" i="2"/>
  <c r="I56" i="2"/>
  <c r="J56" i="2"/>
  <c r="K56" i="2"/>
  <c r="B533" i="3" s="1"/>
  <c r="L56" i="2"/>
  <c r="A533" i="3" s="1"/>
  <c r="M56" i="2"/>
  <c r="N56" i="2"/>
  <c r="O56" i="2"/>
  <c r="P56" i="2"/>
  <c r="B692" i="3" s="1"/>
  <c r="Q56" i="2"/>
  <c r="A692" i="3" s="1"/>
  <c r="R56" i="2"/>
  <c r="S56" i="2"/>
  <c r="T56" i="2"/>
  <c r="U56" i="2"/>
  <c r="B851" i="3" s="1"/>
  <c r="V56" i="2"/>
  <c r="A851" i="3" s="1"/>
  <c r="W56" i="2"/>
  <c r="X56" i="2"/>
  <c r="Y56" i="2"/>
  <c r="A57" i="2"/>
  <c r="C57" i="2" s="1"/>
  <c r="B57" i="2"/>
  <c r="D57" i="2"/>
  <c r="F57" i="2"/>
  <c r="H57" i="2"/>
  <c r="I57" i="2"/>
  <c r="J57" i="2"/>
  <c r="K57" i="2"/>
  <c r="B534" i="3" s="1"/>
  <c r="M57" i="2"/>
  <c r="N57" i="2"/>
  <c r="O57" i="2"/>
  <c r="P57" i="2"/>
  <c r="B693" i="3" s="1"/>
  <c r="R57" i="2"/>
  <c r="S57" i="2"/>
  <c r="T57" i="2"/>
  <c r="U57" i="2"/>
  <c r="B852" i="3" s="1"/>
  <c r="W57" i="2"/>
  <c r="X57" i="2"/>
  <c r="Y57" i="2"/>
  <c r="A58" i="2"/>
  <c r="C58" i="2" s="1"/>
  <c r="B58" i="2"/>
  <c r="D58" i="2"/>
  <c r="B217" i="3" s="1"/>
  <c r="F58" i="2"/>
  <c r="H58" i="2"/>
  <c r="I58" i="2"/>
  <c r="J58" i="2"/>
  <c r="K58" i="2"/>
  <c r="B535" i="3" s="1"/>
  <c r="M58" i="2"/>
  <c r="N58" i="2"/>
  <c r="O58" i="2"/>
  <c r="P58" i="2"/>
  <c r="B694" i="3" s="1"/>
  <c r="Q58" i="2"/>
  <c r="A694" i="3" s="1"/>
  <c r="R58" i="2"/>
  <c r="S58" i="2"/>
  <c r="T58" i="2"/>
  <c r="U58" i="2"/>
  <c r="B853" i="3" s="1"/>
  <c r="W58" i="2"/>
  <c r="X58" i="2"/>
  <c r="Y58" i="2"/>
  <c r="A59" i="2"/>
  <c r="B59" i="2"/>
  <c r="D59" i="2"/>
  <c r="B218" i="3" s="1"/>
  <c r="F59" i="2"/>
  <c r="B377" i="3" s="1"/>
  <c r="H59" i="2"/>
  <c r="I59" i="2"/>
  <c r="J59" i="2"/>
  <c r="K59" i="2"/>
  <c r="B536" i="3" s="1"/>
  <c r="M59" i="2"/>
  <c r="N59" i="2"/>
  <c r="O59" i="2"/>
  <c r="P59" i="2"/>
  <c r="B695" i="3" s="1"/>
  <c r="R59" i="2"/>
  <c r="S59" i="2"/>
  <c r="T59" i="2"/>
  <c r="U59" i="2"/>
  <c r="B854" i="3" s="1"/>
  <c r="W59" i="2"/>
  <c r="X59" i="2"/>
  <c r="Y59" i="2"/>
  <c r="A60" i="2"/>
  <c r="L60" i="2" s="1"/>
  <c r="A537" i="3" s="1"/>
  <c r="B60" i="2"/>
  <c r="D60" i="2"/>
  <c r="E60" i="2"/>
  <c r="F60" i="2"/>
  <c r="B378" i="3" s="1"/>
  <c r="H60" i="2"/>
  <c r="I60" i="2"/>
  <c r="J60" i="2"/>
  <c r="K60" i="2"/>
  <c r="B537" i="3" s="1"/>
  <c r="M60" i="2"/>
  <c r="N60" i="2"/>
  <c r="O60" i="2"/>
  <c r="P60" i="2"/>
  <c r="B696" i="3" s="1"/>
  <c r="Q60" i="2"/>
  <c r="A696" i="3" s="1"/>
  <c r="R60" i="2"/>
  <c r="S60" i="2"/>
  <c r="T60" i="2"/>
  <c r="U60" i="2"/>
  <c r="B855" i="3" s="1"/>
  <c r="W60" i="2"/>
  <c r="X60" i="2"/>
  <c r="Y60" i="2"/>
  <c r="A61" i="2"/>
  <c r="B61" i="2"/>
  <c r="C61" i="2"/>
  <c r="D61" i="2"/>
  <c r="E61" i="2"/>
  <c r="F61" i="2"/>
  <c r="G61" i="2"/>
  <c r="H61" i="2"/>
  <c r="I61" i="2"/>
  <c r="J61" i="2"/>
  <c r="K61" i="2"/>
  <c r="B538" i="3" s="1"/>
  <c r="M61" i="2"/>
  <c r="N61" i="2"/>
  <c r="O61" i="2"/>
  <c r="P61" i="2"/>
  <c r="B697" i="3" s="1"/>
  <c r="R61" i="2"/>
  <c r="S61" i="2"/>
  <c r="T61" i="2"/>
  <c r="U61" i="2"/>
  <c r="B856" i="3" s="1"/>
  <c r="W61" i="2"/>
  <c r="X61" i="2"/>
  <c r="Y61" i="2"/>
  <c r="A62" i="2"/>
  <c r="C62" i="2" s="1"/>
  <c r="B62" i="2"/>
  <c r="D62" i="2"/>
  <c r="B221" i="3" s="1"/>
  <c r="E62" i="2"/>
  <c r="F62" i="2"/>
  <c r="H62" i="2"/>
  <c r="I62" i="2"/>
  <c r="J62" i="2"/>
  <c r="K62" i="2"/>
  <c r="B539" i="3" s="1"/>
  <c r="L62" i="2"/>
  <c r="A539" i="3" s="1"/>
  <c r="M62" i="2"/>
  <c r="N62" i="2"/>
  <c r="O62" i="2"/>
  <c r="P62" i="2"/>
  <c r="B698" i="3" s="1"/>
  <c r="R62" i="2"/>
  <c r="S62" i="2"/>
  <c r="T62" i="2"/>
  <c r="U62" i="2"/>
  <c r="B857" i="3" s="1"/>
  <c r="V62" i="2"/>
  <c r="A857" i="3" s="1"/>
  <c r="W62" i="2"/>
  <c r="X62" i="2"/>
  <c r="Y62" i="2"/>
  <c r="A63" i="2"/>
  <c r="B63" i="2"/>
  <c r="D63" i="2"/>
  <c r="B222" i="3" s="1"/>
  <c r="F63" i="2"/>
  <c r="B381" i="3" s="1"/>
  <c r="H63" i="2"/>
  <c r="I63" i="2"/>
  <c r="J63" i="2"/>
  <c r="K63" i="2"/>
  <c r="B540" i="3" s="1"/>
  <c r="M63" i="2"/>
  <c r="N63" i="2"/>
  <c r="O63" i="2"/>
  <c r="P63" i="2"/>
  <c r="B699" i="3" s="1"/>
  <c r="R63" i="2"/>
  <c r="S63" i="2"/>
  <c r="T63" i="2"/>
  <c r="U63" i="2"/>
  <c r="B858" i="3" s="1"/>
  <c r="W63" i="2"/>
  <c r="X63" i="2"/>
  <c r="Y63" i="2"/>
  <c r="A64" i="2"/>
  <c r="B64" i="2"/>
  <c r="C64" i="2"/>
  <c r="D64" i="2"/>
  <c r="E64" i="2"/>
  <c r="F64" i="2"/>
  <c r="B382" i="3" s="1"/>
  <c r="G64" i="2"/>
  <c r="H64" i="2"/>
  <c r="I64" i="2"/>
  <c r="J64" i="2"/>
  <c r="K64" i="2"/>
  <c r="B541" i="3" s="1"/>
  <c r="L64" i="2"/>
  <c r="A541" i="3" s="1"/>
  <c r="M64" i="2"/>
  <c r="N64" i="2"/>
  <c r="O64" i="2"/>
  <c r="P64" i="2"/>
  <c r="B700" i="3" s="1"/>
  <c r="Q64" i="2"/>
  <c r="A700" i="3" s="1"/>
  <c r="R64" i="2"/>
  <c r="S64" i="2"/>
  <c r="T64" i="2"/>
  <c r="U64" i="2"/>
  <c r="B859" i="3" s="1"/>
  <c r="V64" i="2"/>
  <c r="A859" i="3" s="1"/>
  <c r="W64" i="2"/>
  <c r="X64" i="2"/>
  <c r="Y64" i="2"/>
  <c r="A65" i="2"/>
  <c r="V65" i="2" s="1"/>
  <c r="A860" i="3" s="1"/>
  <c r="B65" i="2"/>
  <c r="D65" i="2"/>
  <c r="F65" i="2"/>
  <c r="H65" i="2"/>
  <c r="I65" i="2"/>
  <c r="J65" i="2"/>
  <c r="K65" i="2"/>
  <c r="B542" i="3" s="1"/>
  <c r="M65" i="2"/>
  <c r="N65" i="2"/>
  <c r="O65" i="2"/>
  <c r="P65" i="2"/>
  <c r="B701" i="3" s="1"/>
  <c r="R65" i="2"/>
  <c r="S65" i="2"/>
  <c r="T65" i="2"/>
  <c r="U65" i="2"/>
  <c r="B860" i="3" s="1"/>
  <c r="W65" i="2"/>
  <c r="X65" i="2"/>
  <c r="Y65" i="2"/>
  <c r="A66" i="2"/>
  <c r="C66" i="2" s="1"/>
  <c r="B66" i="2"/>
  <c r="D66" i="2"/>
  <c r="B225" i="3" s="1"/>
  <c r="F66" i="2"/>
  <c r="H66" i="2"/>
  <c r="I66" i="2"/>
  <c r="J66" i="2"/>
  <c r="K66" i="2"/>
  <c r="B543" i="3" s="1"/>
  <c r="M66" i="2"/>
  <c r="N66" i="2"/>
  <c r="O66" i="2"/>
  <c r="P66" i="2"/>
  <c r="B702" i="3" s="1"/>
  <c r="R66" i="2"/>
  <c r="S66" i="2"/>
  <c r="T66" i="2"/>
  <c r="U66" i="2"/>
  <c r="B861" i="3" s="1"/>
  <c r="W66" i="2"/>
  <c r="X66" i="2"/>
  <c r="Y66" i="2"/>
  <c r="A67" i="2"/>
  <c r="C67" i="2" s="1"/>
  <c r="B67" i="2"/>
  <c r="D67" i="2"/>
  <c r="B226" i="3" s="1"/>
  <c r="F67" i="2"/>
  <c r="B385" i="3" s="1"/>
  <c r="H67" i="2"/>
  <c r="I67" i="2"/>
  <c r="J67" i="2"/>
  <c r="K67" i="2"/>
  <c r="B544" i="3" s="1"/>
  <c r="M67" i="2"/>
  <c r="N67" i="2"/>
  <c r="O67" i="2"/>
  <c r="P67" i="2"/>
  <c r="B703" i="3" s="1"/>
  <c r="R67" i="2"/>
  <c r="S67" i="2"/>
  <c r="T67" i="2"/>
  <c r="U67" i="2"/>
  <c r="B862" i="3" s="1"/>
  <c r="W67" i="2"/>
  <c r="X67" i="2"/>
  <c r="Y67" i="2"/>
  <c r="A68" i="2"/>
  <c r="V68" i="2" s="1"/>
  <c r="A863" i="3" s="1"/>
  <c r="B68" i="2"/>
  <c r="D68" i="2"/>
  <c r="E68" i="2"/>
  <c r="F68" i="2"/>
  <c r="B386" i="3" s="1"/>
  <c r="H68" i="2"/>
  <c r="I68" i="2"/>
  <c r="J68" i="2"/>
  <c r="K68" i="2"/>
  <c r="B545" i="3" s="1"/>
  <c r="M68" i="2"/>
  <c r="N68" i="2"/>
  <c r="O68" i="2"/>
  <c r="P68" i="2"/>
  <c r="B704" i="3" s="1"/>
  <c r="Q68" i="2"/>
  <c r="A704" i="3" s="1"/>
  <c r="R68" i="2"/>
  <c r="S68" i="2"/>
  <c r="T68" i="2"/>
  <c r="U68" i="2"/>
  <c r="B863" i="3" s="1"/>
  <c r="W68" i="2"/>
  <c r="X68" i="2"/>
  <c r="Y68" i="2"/>
  <c r="A69" i="2"/>
  <c r="V69" i="2" s="1"/>
  <c r="A864" i="3" s="1"/>
  <c r="B69" i="2"/>
  <c r="D69" i="2"/>
  <c r="F69" i="2"/>
  <c r="H69" i="2"/>
  <c r="I69" i="2"/>
  <c r="J69" i="2"/>
  <c r="K69" i="2"/>
  <c r="B546" i="3" s="1"/>
  <c r="M69" i="2"/>
  <c r="N69" i="2"/>
  <c r="O69" i="2"/>
  <c r="P69" i="2"/>
  <c r="B705" i="3" s="1"/>
  <c r="R69" i="2"/>
  <c r="S69" i="2"/>
  <c r="T69" i="2"/>
  <c r="U69" i="2"/>
  <c r="B864" i="3" s="1"/>
  <c r="W69" i="2"/>
  <c r="X69" i="2"/>
  <c r="Y69" i="2"/>
  <c r="A70" i="2"/>
  <c r="C70" i="2" s="1"/>
  <c r="B70" i="2"/>
  <c r="D70" i="2"/>
  <c r="F70" i="2"/>
  <c r="H70" i="2"/>
  <c r="I70" i="2"/>
  <c r="J70" i="2"/>
  <c r="K70" i="2"/>
  <c r="B547" i="3" s="1"/>
  <c r="M70" i="2"/>
  <c r="N70" i="2"/>
  <c r="O70" i="2"/>
  <c r="P70" i="2"/>
  <c r="B706" i="3" s="1"/>
  <c r="R70" i="2"/>
  <c r="S70" i="2"/>
  <c r="T70" i="2"/>
  <c r="U70" i="2"/>
  <c r="B865" i="3" s="1"/>
  <c r="W70" i="2"/>
  <c r="X70" i="2"/>
  <c r="Y70" i="2"/>
  <c r="A71" i="2"/>
  <c r="C71" i="2" s="1"/>
  <c r="B71" i="2"/>
  <c r="D71" i="2"/>
  <c r="B230" i="3" s="1"/>
  <c r="F71" i="2"/>
  <c r="B389" i="3" s="1"/>
  <c r="H71" i="2"/>
  <c r="I71" i="2"/>
  <c r="J71" i="2"/>
  <c r="K71" i="2"/>
  <c r="B548" i="3" s="1"/>
  <c r="M71" i="2"/>
  <c r="N71" i="2"/>
  <c r="O71" i="2"/>
  <c r="P71" i="2"/>
  <c r="B707" i="3" s="1"/>
  <c r="R71" i="2"/>
  <c r="S71" i="2"/>
  <c r="T71" i="2"/>
  <c r="U71" i="2"/>
  <c r="B866" i="3" s="1"/>
  <c r="W71" i="2"/>
  <c r="X71" i="2"/>
  <c r="Y71" i="2"/>
  <c r="A72" i="2"/>
  <c r="V72" i="2" s="1"/>
  <c r="A867" i="3" s="1"/>
  <c r="B72" i="2"/>
  <c r="D72" i="2"/>
  <c r="E72" i="2"/>
  <c r="F72" i="2"/>
  <c r="B390" i="3" s="1"/>
  <c r="H72" i="2"/>
  <c r="I72" i="2"/>
  <c r="J72" i="2"/>
  <c r="K72" i="2"/>
  <c r="B549" i="3" s="1"/>
  <c r="M72" i="2"/>
  <c r="N72" i="2"/>
  <c r="O72" i="2"/>
  <c r="P72" i="2"/>
  <c r="B708" i="3" s="1"/>
  <c r="Q72" i="2"/>
  <c r="A708" i="3" s="1"/>
  <c r="R72" i="2"/>
  <c r="S72" i="2"/>
  <c r="T72" i="2"/>
  <c r="U72" i="2"/>
  <c r="B867" i="3" s="1"/>
  <c r="W72" i="2"/>
  <c r="X72" i="2"/>
  <c r="Y72" i="2"/>
  <c r="A73" i="2"/>
  <c r="V73" i="2" s="1"/>
  <c r="A868" i="3" s="1"/>
  <c r="B73" i="2"/>
  <c r="D73" i="2"/>
  <c r="F73" i="2"/>
  <c r="H73" i="2"/>
  <c r="I73" i="2"/>
  <c r="J73" i="2"/>
  <c r="K73" i="2"/>
  <c r="B550" i="3" s="1"/>
  <c r="M73" i="2"/>
  <c r="N73" i="2"/>
  <c r="O73" i="2"/>
  <c r="P73" i="2"/>
  <c r="B709" i="3" s="1"/>
  <c r="R73" i="2"/>
  <c r="S73" i="2"/>
  <c r="T73" i="2"/>
  <c r="U73" i="2"/>
  <c r="B868" i="3" s="1"/>
  <c r="W73" i="2"/>
  <c r="X73" i="2"/>
  <c r="Y73" i="2"/>
  <c r="A74" i="2"/>
  <c r="C74" i="2" s="1"/>
  <c r="B74" i="2"/>
  <c r="D74" i="2"/>
  <c r="F74" i="2"/>
  <c r="H74" i="2"/>
  <c r="I74" i="2"/>
  <c r="J74" i="2"/>
  <c r="K74" i="2"/>
  <c r="B551" i="3" s="1"/>
  <c r="M74" i="2"/>
  <c r="N74" i="2"/>
  <c r="O74" i="2"/>
  <c r="P74" i="2"/>
  <c r="B710" i="3" s="1"/>
  <c r="R74" i="2"/>
  <c r="S74" i="2"/>
  <c r="T74" i="2"/>
  <c r="U74" i="2"/>
  <c r="B869" i="3" s="1"/>
  <c r="W74" i="2"/>
  <c r="X74" i="2"/>
  <c r="Y74" i="2"/>
  <c r="A75" i="2"/>
  <c r="Q75" i="2" s="1"/>
  <c r="A711" i="3" s="1"/>
  <c r="B75" i="2"/>
  <c r="D75" i="2"/>
  <c r="B234" i="3" s="1"/>
  <c r="F75" i="2"/>
  <c r="B393" i="3" s="1"/>
  <c r="H75" i="2"/>
  <c r="I75" i="2"/>
  <c r="J75" i="2"/>
  <c r="K75" i="2"/>
  <c r="B552" i="3" s="1"/>
  <c r="M75" i="2"/>
  <c r="N75" i="2"/>
  <c r="O75" i="2"/>
  <c r="P75" i="2"/>
  <c r="B711" i="3" s="1"/>
  <c r="R75" i="2"/>
  <c r="S75" i="2"/>
  <c r="T75" i="2"/>
  <c r="U75" i="2"/>
  <c r="B870" i="3" s="1"/>
  <c r="W75" i="2"/>
  <c r="X75" i="2"/>
  <c r="Y75" i="2"/>
  <c r="A76" i="2"/>
  <c r="V76" i="2" s="1"/>
  <c r="A871" i="3" s="1"/>
  <c r="B76" i="2"/>
  <c r="D76" i="2"/>
  <c r="E76" i="2"/>
  <c r="F76" i="2"/>
  <c r="B394" i="3" s="1"/>
  <c r="H76" i="2"/>
  <c r="I76" i="2"/>
  <c r="J76" i="2"/>
  <c r="K76" i="2"/>
  <c r="B553" i="3" s="1"/>
  <c r="M76" i="2"/>
  <c r="N76" i="2"/>
  <c r="O76" i="2"/>
  <c r="P76" i="2"/>
  <c r="B712" i="3" s="1"/>
  <c r="Q76" i="2"/>
  <c r="A712" i="3" s="1"/>
  <c r="R76" i="2"/>
  <c r="S76" i="2"/>
  <c r="T76" i="2"/>
  <c r="U76" i="2"/>
  <c r="B871" i="3" s="1"/>
  <c r="W76" i="2"/>
  <c r="X76" i="2"/>
  <c r="Y76" i="2"/>
  <c r="A77" i="2"/>
  <c r="V77" i="2" s="1"/>
  <c r="A872" i="3" s="1"/>
  <c r="B77" i="2"/>
  <c r="D77" i="2"/>
  <c r="F77" i="2"/>
  <c r="H77" i="2"/>
  <c r="I77" i="2"/>
  <c r="J77" i="2"/>
  <c r="K77" i="2"/>
  <c r="B554" i="3" s="1"/>
  <c r="M77" i="2"/>
  <c r="N77" i="2"/>
  <c r="O77" i="2"/>
  <c r="P77" i="2"/>
  <c r="B713" i="3" s="1"/>
  <c r="R77" i="2"/>
  <c r="S77" i="2"/>
  <c r="T77" i="2"/>
  <c r="U77" i="2"/>
  <c r="B872" i="3" s="1"/>
  <c r="W77" i="2"/>
  <c r="X77" i="2"/>
  <c r="Y77" i="2"/>
  <c r="A78" i="2"/>
  <c r="C78" i="2" s="1"/>
  <c r="B78" i="2"/>
  <c r="D78" i="2"/>
  <c r="F78" i="2"/>
  <c r="H78" i="2"/>
  <c r="I78" i="2"/>
  <c r="J78" i="2"/>
  <c r="K78" i="2"/>
  <c r="B555" i="3" s="1"/>
  <c r="M78" i="2"/>
  <c r="N78" i="2"/>
  <c r="O78" i="2"/>
  <c r="P78" i="2"/>
  <c r="B714" i="3" s="1"/>
  <c r="R78" i="2"/>
  <c r="S78" i="2"/>
  <c r="T78" i="2"/>
  <c r="U78" i="2"/>
  <c r="B873" i="3" s="1"/>
  <c r="W78" i="2"/>
  <c r="X78" i="2"/>
  <c r="Y78" i="2"/>
  <c r="A79" i="2"/>
  <c r="E79" i="2" s="1"/>
  <c r="B79" i="2"/>
  <c r="D79" i="2"/>
  <c r="B238" i="3" s="1"/>
  <c r="F79" i="2"/>
  <c r="B397" i="3" s="1"/>
  <c r="H79" i="2"/>
  <c r="I79" i="2"/>
  <c r="J79" i="2"/>
  <c r="K79" i="2"/>
  <c r="B556" i="3" s="1"/>
  <c r="M79" i="2"/>
  <c r="N79" i="2"/>
  <c r="O79" i="2"/>
  <c r="P79" i="2"/>
  <c r="B715" i="3" s="1"/>
  <c r="R79" i="2"/>
  <c r="S79" i="2"/>
  <c r="T79" i="2"/>
  <c r="U79" i="2"/>
  <c r="B874" i="3" s="1"/>
  <c r="W79" i="2"/>
  <c r="X79" i="2"/>
  <c r="Y79" i="2"/>
  <c r="A80" i="2"/>
  <c r="V80" i="2" s="1"/>
  <c r="A875" i="3" s="1"/>
  <c r="B80" i="2"/>
  <c r="D80" i="2"/>
  <c r="E80" i="2"/>
  <c r="F80" i="2"/>
  <c r="B398" i="3" s="1"/>
  <c r="H80" i="2"/>
  <c r="I80" i="2"/>
  <c r="J80" i="2"/>
  <c r="K80" i="2"/>
  <c r="B557" i="3" s="1"/>
  <c r="M80" i="2"/>
  <c r="N80" i="2"/>
  <c r="O80" i="2"/>
  <c r="P80" i="2"/>
  <c r="B716" i="3" s="1"/>
  <c r="Q80" i="2"/>
  <c r="A716" i="3" s="1"/>
  <c r="R80" i="2"/>
  <c r="S80" i="2"/>
  <c r="T80" i="2"/>
  <c r="U80" i="2"/>
  <c r="B875" i="3" s="1"/>
  <c r="W80" i="2"/>
  <c r="X80" i="2"/>
  <c r="Y80" i="2"/>
  <c r="A81" i="2"/>
  <c r="L81" i="2" s="1"/>
  <c r="A558" i="3" s="1"/>
  <c r="B81" i="2"/>
  <c r="D81" i="2"/>
  <c r="F81" i="2"/>
  <c r="H81" i="2"/>
  <c r="I81" i="2"/>
  <c r="J81" i="2"/>
  <c r="K81" i="2"/>
  <c r="B558" i="3" s="1"/>
  <c r="M81" i="2"/>
  <c r="N81" i="2"/>
  <c r="O81" i="2"/>
  <c r="P81" i="2"/>
  <c r="B717" i="3" s="1"/>
  <c r="R81" i="2"/>
  <c r="S81" i="2"/>
  <c r="T81" i="2"/>
  <c r="U81" i="2"/>
  <c r="B876" i="3" s="1"/>
  <c r="V81" i="2"/>
  <c r="A876" i="3" s="1"/>
  <c r="W81" i="2"/>
  <c r="X81" i="2"/>
  <c r="Y81" i="2"/>
  <c r="A82" i="2"/>
  <c r="C82" i="2" s="1"/>
  <c r="B82" i="2"/>
  <c r="D82" i="2"/>
  <c r="F82" i="2"/>
  <c r="H82" i="2"/>
  <c r="I82" i="2"/>
  <c r="J82" i="2"/>
  <c r="K82" i="2"/>
  <c r="B559" i="3" s="1"/>
  <c r="M82" i="2"/>
  <c r="N82" i="2"/>
  <c r="O82" i="2"/>
  <c r="P82" i="2"/>
  <c r="B718" i="3" s="1"/>
  <c r="R82" i="2"/>
  <c r="S82" i="2"/>
  <c r="T82" i="2"/>
  <c r="U82" i="2"/>
  <c r="B877" i="3" s="1"/>
  <c r="W82" i="2"/>
  <c r="X82" i="2"/>
  <c r="Y82" i="2"/>
  <c r="A83" i="2"/>
  <c r="V83" i="2" s="1"/>
  <c r="A878" i="3" s="1"/>
  <c r="B83" i="2"/>
  <c r="D83" i="2"/>
  <c r="B242" i="3" s="1"/>
  <c r="F83" i="2"/>
  <c r="B401" i="3" s="1"/>
  <c r="H83" i="2"/>
  <c r="I83" i="2"/>
  <c r="J83" i="2"/>
  <c r="K83" i="2"/>
  <c r="B560" i="3" s="1"/>
  <c r="M83" i="2"/>
  <c r="N83" i="2"/>
  <c r="O83" i="2"/>
  <c r="P83" i="2"/>
  <c r="B719" i="3" s="1"/>
  <c r="R83" i="2"/>
  <c r="S83" i="2"/>
  <c r="T83" i="2"/>
  <c r="U83" i="2"/>
  <c r="B878" i="3" s="1"/>
  <c r="W83" i="2"/>
  <c r="X83" i="2"/>
  <c r="Y83" i="2"/>
  <c r="A84" i="2"/>
  <c r="C84" i="2" s="1"/>
  <c r="B84" i="2"/>
  <c r="D84" i="2"/>
  <c r="E84" i="2"/>
  <c r="F84" i="2"/>
  <c r="B402" i="3" s="1"/>
  <c r="H84" i="2"/>
  <c r="I84" i="2"/>
  <c r="J84" i="2"/>
  <c r="K84" i="2"/>
  <c r="B561" i="3" s="1"/>
  <c r="L84" i="2"/>
  <c r="A561" i="3" s="1"/>
  <c r="M84" i="2"/>
  <c r="N84" i="2"/>
  <c r="O84" i="2"/>
  <c r="P84" i="2"/>
  <c r="B720" i="3" s="1"/>
  <c r="R84" i="2"/>
  <c r="S84" i="2"/>
  <c r="T84" i="2"/>
  <c r="U84" i="2"/>
  <c r="B879" i="3" s="1"/>
  <c r="V84" i="2"/>
  <c r="A879" i="3" s="1"/>
  <c r="W84" i="2"/>
  <c r="X84" i="2"/>
  <c r="Y84" i="2"/>
  <c r="A85" i="2"/>
  <c r="L85" i="2" s="1"/>
  <c r="A562" i="3" s="1"/>
  <c r="B85" i="2"/>
  <c r="D85" i="2"/>
  <c r="E85" i="2"/>
  <c r="F85" i="2"/>
  <c r="H85" i="2"/>
  <c r="I85" i="2"/>
  <c r="J85" i="2"/>
  <c r="K85" i="2"/>
  <c r="B562" i="3" s="1"/>
  <c r="M85" i="2"/>
  <c r="N85" i="2"/>
  <c r="O85" i="2"/>
  <c r="P85" i="2"/>
  <c r="B721" i="3" s="1"/>
  <c r="R85" i="2"/>
  <c r="S85" i="2"/>
  <c r="T85" i="2"/>
  <c r="U85" i="2"/>
  <c r="B880" i="3" s="1"/>
  <c r="W85" i="2"/>
  <c r="X85" i="2"/>
  <c r="Y85" i="2"/>
  <c r="A86" i="2"/>
  <c r="E86" i="2" s="1"/>
  <c r="B86" i="2"/>
  <c r="D86" i="2"/>
  <c r="F86" i="2"/>
  <c r="H86" i="2"/>
  <c r="I86" i="2"/>
  <c r="J86" i="2"/>
  <c r="K86" i="2"/>
  <c r="B563" i="3" s="1"/>
  <c r="M86" i="2"/>
  <c r="N86" i="2"/>
  <c r="O86" i="2"/>
  <c r="P86" i="2"/>
  <c r="B722" i="3" s="1"/>
  <c r="Q86" i="2"/>
  <c r="A722" i="3" s="1"/>
  <c r="R86" i="2"/>
  <c r="S86" i="2"/>
  <c r="T86" i="2"/>
  <c r="U86" i="2"/>
  <c r="B881" i="3" s="1"/>
  <c r="W86" i="2"/>
  <c r="X86" i="2"/>
  <c r="Y86" i="2"/>
  <c r="A87" i="2"/>
  <c r="V87" i="2" s="1"/>
  <c r="A882" i="3" s="1"/>
  <c r="B87" i="2"/>
  <c r="D87" i="2"/>
  <c r="B246" i="3" s="1"/>
  <c r="E87" i="2"/>
  <c r="F87" i="2"/>
  <c r="B405" i="3" s="1"/>
  <c r="H87" i="2"/>
  <c r="I87" i="2"/>
  <c r="J87" i="2"/>
  <c r="K87" i="2"/>
  <c r="B564" i="3" s="1"/>
  <c r="M87" i="2"/>
  <c r="N87" i="2"/>
  <c r="O87" i="2"/>
  <c r="P87" i="2"/>
  <c r="B723" i="3" s="1"/>
  <c r="Q87" i="2"/>
  <c r="A723" i="3" s="1"/>
  <c r="R87" i="2"/>
  <c r="S87" i="2"/>
  <c r="T87" i="2"/>
  <c r="U87" i="2"/>
  <c r="B882" i="3" s="1"/>
  <c r="W87" i="2"/>
  <c r="X87" i="2"/>
  <c r="Y87" i="2"/>
  <c r="A88" i="2"/>
  <c r="L88" i="2" s="1"/>
  <c r="A565" i="3" s="1"/>
  <c r="B88" i="2"/>
  <c r="D88" i="2"/>
  <c r="E88" i="2"/>
  <c r="F88" i="2"/>
  <c r="B406" i="3" s="1"/>
  <c r="H88" i="2"/>
  <c r="I88" i="2"/>
  <c r="J88" i="2"/>
  <c r="K88" i="2"/>
  <c r="B565" i="3" s="1"/>
  <c r="M88" i="2"/>
  <c r="N88" i="2"/>
  <c r="O88" i="2"/>
  <c r="P88" i="2"/>
  <c r="B724" i="3" s="1"/>
  <c r="R88" i="2"/>
  <c r="S88" i="2"/>
  <c r="T88" i="2"/>
  <c r="U88" i="2"/>
  <c r="B883" i="3" s="1"/>
  <c r="W88" i="2"/>
  <c r="X88" i="2"/>
  <c r="Y88" i="2"/>
  <c r="A89" i="2"/>
  <c r="L89" i="2" s="1"/>
  <c r="A566" i="3" s="1"/>
  <c r="B89" i="2"/>
  <c r="C89" i="2"/>
  <c r="D89" i="2"/>
  <c r="E89" i="2"/>
  <c r="F89" i="2"/>
  <c r="G89" i="2"/>
  <c r="H89" i="2"/>
  <c r="I89" i="2"/>
  <c r="J89" i="2"/>
  <c r="K89" i="2"/>
  <c r="B566" i="3" s="1"/>
  <c r="M89" i="2"/>
  <c r="N89" i="2"/>
  <c r="O89" i="2"/>
  <c r="P89" i="2"/>
  <c r="B725" i="3" s="1"/>
  <c r="Q89" i="2"/>
  <c r="A725" i="3" s="1"/>
  <c r="R89" i="2"/>
  <c r="S89" i="2"/>
  <c r="T89" i="2"/>
  <c r="U89" i="2"/>
  <c r="B884" i="3" s="1"/>
  <c r="V89" i="2"/>
  <c r="A884" i="3" s="1"/>
  <c r="W89" i="2"/>
  <c r="X89" i="2"/>
  <c r="Y89" i="2"/>
  <c r="A90" i="2"/>
  <c r="B90" i="2"/>
  <c r="C90" i="2"/>
  <c r="A90" i="3" s="1"/>
  <c r="D90" i="2"/>
  <c r="E90" i="2"/>
  <c r="F90" i="2"/>
  <c r="G90" i="2"/>
  <c r="H90" i="2"/>
  <c r="I90" i="2"/>
  <c r="J90" i="2"/>
  <c r="K90" i="2"/>
  <c r="B567" i="3" s="1"/>
  <c r="L90" i="2"/>
  <c r="A567" i="3" s="1"/>
  <c r="M90" i="2"/>
  <c r="N90" i="2"/>
  <c r="O90" i="2"/>
  <c r="P90" i="2"/>
  <c r="B726" i="3" s="1"/>
  <c r="Q90" i="2"/>
  <c r="A726" i="3" s="1"/>
  <c r="R90" i="2"/>
  <c r="S90" i="2"/>
  <c r="T90" i="2"/>
  <c r="U90" i="2"/>
  <c r="B885" i="3" s="1"/>
  <c r="V90" i="2"/>
  <c r="A885" i="3" s="1"/>
  <c r="W90" i="2"/>
  <c r="X90" i="2"/>
  <c r="Y90" i="2"/>
  <c r="A91" i="2"/>
  <c r="C91" i="2" s="1"/>
  <c r="B91" i="2"/>
  <c r="D91" i="2"/>
  <c r="B250" i="3" s="1"/>
  <c r="F91" i="2"/>
  <c r="B409" i="3" s="1"/>
  <c r="H91" i="2"/>
  <c r="I91" i="2"/>
  <c r="J91" i="2"/>
  <c r="K91" i="2"/>
  <c r="B568" i="3" s="1"/>
  <c r="M91" i="2"/>
  <c r="N91" i="2"/>
  <c r="O91" i="2"/>
  <c r="P91" i="2"/>
  <c r="B727" i="3" s="1"/>
  <c r="R91" i="2"/>
  <c r="S91" i="2"/>
  <c r="T91" i="2"/>
  <c r="U91" i="2"/>
  <c r="B886" i="3" s="1"/>
  <c r="W91" i="2"/>
  <c r="X91" i="2"/>
  <c r="Y91" i="2"/>
  <c r="A92" i="2"/>
  <c r="C92" i="2" s="1"/>
  <c r="A92" i="3" s="1"/>
  <c r="B92" i="2"/>
  <c r="D92" i="2"/>
  <c r="F92" i="2"/>
  <c r="B410" i="3" s="1"/>
  <c r="H92" i="2"/>
  <c r="I92" i="2"/>
  <c r="J92" i="2"/>
  <c r="K92" i="2"/>
  <c r="B569" i="3" s="1"/>
  <c r="M92" i="2"/>
  <c r="N92" i="2"/>
  <c r="O92" i="2"/>
  <c r="P92" i="2"/>
  <c r="B728" i="3" s="1"/>
  <c r="Q92" i="2"/>
  <c r="A728" i="3" s="1"/>
  <c r="R92" i="2"/>
  <c r="S92" i="2"/>
  <c r="T92" i="2"/>
  <c r="U92" i="2"/>
  <c r="B887" i="3" s="1"/>
  <c r="W92" i="2"/>
  <c r="X92" i="2"/>
  <c r="Y92" i="2"/>
  <c r="A93" i="2"/>
  <c r="V93" i="2" s="1"/>
  <c r="A888" i="3" s="1"/>
  <c r="B93" i="2"/>
  <c r="D93" i="2"/>
  <c r="E93" i="2"/>
  <c r="F93" i="2"/>
  <c r="H93" i="2"/>
  <c r="I93" i="2"/>
  <c r="J93" i="2"/>
  <c r="K93" i="2"/>
  <c r="B570" i="3" s="1"/>
  <c r="M93" i="2"/>
  <c r="N93" i="2"/>
  <c r="O93" i="2"/>
  <c r="P93" i="2"/>
  <c r="B729" i="3" s="1"/>
  <c r="Q93" i="2"/>
  <c r="A729" i="3" s="1"/>
  <c r="R93" i="2"/>
  <c r="S93" i="2"/>
  <c r="T93" i="2"/>
  <c r="U93" i="2"/>
  <c r="B888" i="3" s="1"/>
  <c r="W93" i="2"/>
  <c r="X93" i="2"/>
  <c r="Y93" i="2"/>
  <c r="A94" i="2"/>
  <c r="V94" i="2" s="1"/>
  <c r="A889" i="3" s="1"/>
  <c r="B94" i="2"/>
  <c r="D94" i="2"/>
  <c r="F94" i="2"/>
  <c r="H94" i="2"/>
  <c r="I94" i="2"/>
  <c r="J94" i="2"/>
  <c r="K94" i="2"/>
  <c r="B571" i="3" s="1"/>
  <c r="M94" i="2"/>
  <c r="N94" i="2"/>
  <c r="O94" i="2"/>
  <c r="P94" i="2"/>
  <c r="B730" i="3" s="1"/>
  <c r="R94" i="2"/>
  <c r="S94" i="2"/>
  <c r="T94" i="2"/>
  <c r="U94" i="2"/>
  <c r="B889" i="3" s="1"/>
  <c r="W94" i="2"/>
  <c r="X94" i="2"/>
  <c r="Y94" i="2"/>
  <c r="A95" i="2"/>
  <c r="C95" i="2" s="1"/>
  <c r="B95" i="2"/>
  <c r="D95" i="2"/>
  <c r="B254" i="3" s="1"/>
  <c r="E95" i="2"/>
  <c r="F95" i="2"/>
  <c r="B413" i="3" s="1"/>
  <c r="H95" i="2"/>
  <c r="I95" i="2"/>
  <c r="J95" i="2"/>
  <c r="K95" i="2"/>
  <c r="B572" i="3" s="1"/>
  <c r="M95" i="2"/>
  <c r="N95" i="2"/>
  <c r="O95" i="2"/>
  <c r="P95" i="2"/>
  <c r="B731" i="3" s="1"/>
  <c r="Q95" i="2"/>
  <c r="A731" i="3" s="1"/>
  <c r="R95" i="2"/>
  <c r="S95" i="2"/>
  <c r="T95" i="2"/>
  <c r="U95" i="2"/>
  <c r="B890" i="3" s="1"/>
  <c r="W95" i="2"/>
  <c r="X95" i="2"/>
  <c r="Y95" i="2"/>
  <c r="A96" i="2"/>
  <c r="C96" i="2" s="1"/>
  <c r="A96" i="3" s="1"/>
  <c r="B96" i="2"/>
  <c r="D96" i="2"/>
  <c r="F96" i="2"/>
  <c r="B414" i="3" s="1"/>
  <c r="H96" i="2"/>
  <c r="I96" i="2"/>
  <c r="J96" i="2"/>
  <c r="K96" i="2"/>
  <c r="B573" i="3" s="1"/>
  <c r="M96" i="2"/>
  <c r="N96" i="2"/>
  <c r="O96" i="2"/>
  <c r="P96" i="2"/>
  <c r="B732" i="3" s="1"/>
  <c r="Q96" i="2"/>
  <c r="A732" i="3" s="1"/>
  <c r="R96" i="2"/>
  <c r="S96" i="2"/>
  <c r="T96" i="2"/>
  <c r="U96" i="2"/>
  <c r="B891" i="3" s="1"/>
  <c r="W96" i="2"/>
  <c r="X96" i="2"/>
  <c r="Y96" i="2"/>
  <c r="A97" i="2"/>
  <c r="V97" i="2" s="1"/>
  <c r="A892" i="3" s="1"/>
  <c r="B97" i="2"/>
  <c r="D97" i="2"/>
  <c r="F97" i="2"/>
  <c r="H97" i="2"/>
  <c r="I97" i="2"/>
  <c r="J97" i="2"/>
  <c r="K97" i="2"/>
  <c r="B574" i="3" s="1"/>
  <c r="M97" i="2"/>
  <c r="N97" i="2"/>
  <c r="O97" i="2"/>
  <c r="P97" i="2"/>
  <c r="B733" i="3" s="1"/>
  <c r="R97" i="2"/>
  <c r="S97" i="2"/>
  <c r="T97" i="2"/>
  <c r="U97" i="2"/>
  <c r="B892" i="3" s="1"/>
  <c r="W97" i="2"/>
  <c r="X97" i="2"/>
  <c r="Y97" i="2"/>
  <c r="A98" i="2"/>
  <c r="V98" i="2" s="1"/>
  <c r="A893" i="3" s="1"/>
  <c r="B98" i="2"/>
  <c r="D98" i="2"/>
  <c r="E98" i="2"/>
  <c r="F98" i="2"/>
  <c r="H98" i="2"/>
  <c r="I98" i="2"/>
  <c r="J98" i="2"/>
  <c r="K98" i="2"/>
  <c r="B575" i="3" s="1"/>
  <c r="M98" i="2"/>
  <c r="N98" i="2"/>
  <c r="O98" i="2"/>
  <c r="P98" i="2"/>
  <c r="B734" i="3" s="1"/>
  <c r="Q98" i="2"/>
  <c r="A734" i="3" s="1"/>
  <c r="R98" i="2"/>
  <c r="S98" i="2"/>
  <c r="T98" i="2"/>
  <c r="U98" i="2"/>
  <c r="B893" i="3" s="1"/>
  <c r="W98" i="2"/>
  <c r="X98" i="2"/>
  <c r="Y98" i="2"/>
  <c r="A99" i="2"/>
  <c r="C99" i="2" s="1"/>
  <c r="B99" i="2"/>
  <c r="D99" i="2"/>
  <c r="B258" i="3" s="1"/>
  <c r="F99" i="2"/>
  <c r="B417" i="3" s="1"/>
  <c r="H99" i="2"/>
  <c r="I99" i="2"/>
  <c r="J99" i="2"/>
  <c r="K99" i="2"/>
  <c r="B576" i="3" s="1"/>
  <c r="M99" i="2"/>
  <c r="N99" i="2"/>
  <c r="O99" i="2"/>
  <c r="P99" i="2"/>
  <c r="B735" i="3" s="1"/>
  <c r="R99" i="2"/>
  <c r="S99" i="2"/>
  <c r="T99" i="2"/>
  <c r="U99" i="2"/>
  <c r="B894" i="3" s="1"/>
  <c r="W99" i="2"/>
  <c r="X99" i="2"/>
  <c r="Y99" i="2"/>
  <c r="A100" i="2"/>
  <c r="C100" i="2" s="1"/>
  <c r="A100" i="3" s="1"/>
  <c r="B100" i="2"/>
  <c r="D100" i="2"/>
  <c r="F100" i="2"/>
  <c r="B418" i="3" s="1"/>
  <c r="H100" i="2"/>
  <c r="I100" i="2"/>
  <c r="J100" i="2"/>
  <c r="K100" i="2"/>
  <c r="B577" i="3" s="1"/>
  <c r="M100" i="2"/>
  <c r="N100" i="2"/>
  <c r="O100" i="2"/>
  <c r="P100" i="2"/>
  <c r="B736" i="3" s="1"/>
  <c r="Q100" i="2"/>
  <c r="A736" i="3" s="1"/>
  <c r="R100" i="2"/>
  <c r="S100" i="2"/>
  <c r="T100" i="2"/>
  <c r="U100" i="2"/>
  <c r="B895" i="3" s="1"/>
  <c r="W100" i="2"/>
  <c r="X100" i="2"/>
  <c r="Y100" i="2"/>
  <c r="A101" i="2"/>
  <c r="V101" i="2" s="1"/>
  <c r="A896" i="3" s="1"/>
  <c r="B101" i="2"/>
  <c r="D101" i="2"/>
  <c r="E101" i="2"/>
  <c r="F101" i="2"/>
  <c r="H101" i="2"/>
  <c r="I101" i="2"/>
  <c r="J101" i="2"/>
  <c r="K101" i="2"/>
  <c r="B578" i="3" s="1"/>
  <c r="M101" i="2"/>
  <c r="N101" i="2"/>
  <c r="O101" i="2"/>
  <c r="P101" i="2"/>
  <c r="B737" i="3" s="1"/>
  <c r="Q101" i="2"/>
  <c r="A737" i="3" s="1"/>
  <c r="R101" i="2"/>
  <c r="S101" i="2"/>
  <c r="T101" i="2"/>
  <c r="U101" i="2"/>
  <c r="B896" i="3" s="1"/>
  <c r="W101" i="2"/>
  <c r="X101" i="2"/>
  <c r="Y101" i="2"/>
  <c r="A102" i="2"/>
  <c r="V102" i="2" s="1"/>
  <c r="A897" i="3" s="1"/>
  <c r="B102" i="2"/>
  <c r="D102" i="2"/>
  <c r="F102" i="2"/>
  <c r="H102" i="2"/>
  <c r="I102" i="2"/>
  <c r="J102" i="2"/>
  <c r="K102" i="2"/>
  <c r="B579" i="3" s="1"/>
  <c r="M102" i="2"/>
  <c r="N102" i="2"/>
  <c r="O102" i="2"/>
  <c r="P102" i="2"/>
  <c r="B738" i="3" s="1"/>
  <c r="R102" i="2"/>
  <c r="S102" i="2"/>
  <c r="T102" i="2"/>
  <c r="U102" i="2"/>
  <c r="B897" i="3" s="1"/>
  <c r="W102" i="2"/>
  <c r="X102" i="2"/>
  <c r="Y102" i="2"/>
  <c r="A103" i="2"/>
  <c r="C103" i="2" s="1"/>
  <c r="B103" i="2"/>
  <c r="D103" i="2"/>
  <c r="B262" i="3" s="1"/>
  <c r="E103" i="2"/>
  <c r="F103" i="2"/>
  <c r="B421" i="3" s="1"/>
  <c r="H103" i="2"/>
  <c r="I103" i="2"/>
  <c r="J103" i="2"/>
  <c r="K103" i="2"/>
  <c r="B580" i="3" s="1"/>
  <c r="M103" i="2"/>
  <c r="N103" i="2"/>
  <c r="O103" i="2"/>
  <c r="P103" i="2"/>
  <c r="B739" i="3" s="1"/>
  <c r="Q103" i="2"/>
  <c r="A739" i="3" s="1"/>
  <c r="R103" i="2"/>
  <c r="S103" i="2"/>
  <c r="T103" i="2"/>
  <c r="U103" i="2"/>
  <c r="B898" i="3" s="1"/>
  <c r="W103" i="2"/>
  <c r="X103" i="2"/>
  <c r="Y103" i="2"/>
  <c r="A104" i="2"/>
  <c r="C104" i="2" s="1"/>
  <c r="A104" i="3" s="1"/>
  <c r="B104" i="2"/>
  <c r="D104" i="2"/>
  <c r="F104" i="2"/>
  <c r="B422" i="3" s="1"/>
  <c r="H104" i="2"/>
  <c r="I104" i="2"/>
  <c r="J104" i="2"/>
  <c r="K104" i="2"/>
  <c r="B581" i="3" s="1"/>
  <c r="M104" i="2"/>
  <c r="N104" i="2"/>
  <c r="O104" i="2"/>
  <c r="P104" i="2"/>
  <c r="B740" i="3" s="1"/>
  <c r="Q104" i="2"/>
  <c r="A740" i="3" s="1"/>
  <c r="R104" i="2"/>
  <c r="S104" i="2"/>
  <c r="T104" i="2"/>
  <c r="U104" i="2"/>
  <c r="B899" i="3" s="1"/>
  <c r="W104" i="2"/>
  <c r="X104" i="2"/>
  <c r="Y104" i="2"/>
  <c r="A105" i="2"/>
  <c r="V105" i="2" s="1"/>
  <c r="A900" i="3" s="1"/>
  <c r="B105" i="2"/>
  <c r="D105" i="2"/>
  <c r="F105" i="2"/>
  <c r="H105" i="2"/>
  <c r="I105" i="2"/>
  <c r="J105" i="2"/>
  <c r="K105" i="2"/>
  <c r="B582" i="3" s="1"/>
  <c r="M105" i="2"/>
  <c r="N105" i="2"/>
  <c r="O105" i="2"/>
  <c r="P105" i="2"/>
  <c r="B741" i="3" s="1"/>
  <c r="R105" i="2"/>
  <c r="S105" i="2"/>
  <c r="T105" i="2"/>
  <c r="U105" i="2"/>
  <c r="B900" i="3" s="1"/>
  <c r="W105" i="2"/>
  <c r="X105" i="2"/>
  <c r="Y105" i="2"/>
  <c r="A106" i="2"/>
  <c r="V106" i="2" s="1"/>
  <c r="A901" i="3" s="1"/>
  <c r="B106" i="2"/>
  <c r="D106" i="2"/>
  <c r="E106" i="2"/>
  <c r="F106" i="2"/>
  <c r="H106" i="2"/>
  <c r="I106" i="2"/>
  <c r="J106" i="2"/>
  <c r="K106" i="2"/>
  <c r="B583" i="3" s="1"/>
  <c r="M106" i="2"/>
  <c r="N106" i="2"/>
  <c r="O106" i="2"/>
  <c r="P106" i="2"/>
  <c r="B742" i="3" s="1"/>
  <c r="Q106" i="2"/>
  <c r="A742" i="3" s="1"/>
  <c r="R106" i="2"/>
  <c r="S106" i="2"/>
  <c r="T106" i="2"/>
  <c r="U106" i="2"/>
  <c r="B901" i="3" s="1"/>
  <c r="W106" i="2"/>
  <c r="X106" i="2"/>
  <c r="Y106" i="2"/>
  <c r="A107" i="2"/>
  <c r="C107" i="2" s="1"/>
  <c r="B107" i="2"/>
  <c r="D107" i="2"/>
  <c r="B266" i="3" s="1"/>
  <c r="F107" i="2"/>
  <c r="B425" i="3" s="1"/>
  <c r="H107" i="2"/>
  <c r="I107" i="2"/>
  <c r="J107" i="2"/>
  <c r="K107" i="2"/>
  <c r="B584" i="3" s="1"/>
  <c r="M107" i="2"/>
  <c r="N107" i="2"/>
  <c r="O107" i="2"/>
  <c r="P107" i="2"/>
  <c r="B743" i="3" s="1"/>
  <c r="R107" i="2"/>
  <c r="S107" i="2"/>
  <c r="T107" i="2"/>
  <c r="U107" i="2"/>
  <c r="B902" i="3" s="1"/>
  <c r="W107" i="2"/>
  <c r="X107" i="2"/>
  <c r="Y107" i="2"/>
  <c r="A108" i="2"/>
  <c r="C108" i="2" s="1"/>
  <c r="A108" i="3" s="1"/>
  <c r="B108" i="2"/>
  <c r="D108" i="2"/>
  <c r="F108" i="2"/>
  <c r="B426" i="3" s="1"/>
  <c r="H108" i="2"/>
  <c r="I108" i="2"/>
  <c r="J108" i="2"/>
  <c r="K108" i="2"/>
  <c r="B585" i="3" s="1"/>
  <c r="M108" i="2"/>
  <c r="N108" i="2"/>
  <c r="O108" i="2"/>
  <c r="P108" i="2"/>
  <c r="B744" i="3" s="1"/>
  <c r="Q108" i="2"/>
  <c r="A744" i="3" s="1"/>
  <c r="R108" i="2"/>
  <c r="S108" i="2"/>
  <c r="T108" i="2"/>
  <c r="U108" i="2"/>
  <c r="B903" i="3" s="1"/>
  <c r="W108" i="2"/>
  <c r="X108" i="2"/>
  <c r="Y108" i="2"/>
  <c r="A109" i="2"/>
  <c r="V109" i="2" s="1"/>
  <c r="A904" i="3" s="1"/>
  <c r="B109" i="2"/>
  <c r="D109" i="2"/>
  <c r="E109" i="2"/>
  <c r="F109" i="2"/>
  <c r="B427" i="3" s="1"/>
  <c r="H109" i="2"/>
  <c r="I109" i="2"/>
  <c r="J109" i="2"/>
  <c r="K109" i="2"/>
  <c r="B586" i="3" s="1"/>
  <c r="M109" i="2"/>
  <c r="N109" i="2"/>
  <c r="O109" i="2"/>
  <c r="P109" i="2"/>
  <c r="B745" i="3" s="1"/>
  <c r="Q109" i="2"/>
  <c r="A745" i="3" s="1"/>
  <c r="R109" i="2"/>
  <c r="S109" i="2"/>
  <c r="T109" i="2"/>
  <c r="U109" i="2"/>
  <c r="B904" i="3" s="1"/>
  <c r="W109" i="2"/>
  <c r="X109" i="2"/>
  <c r="Y109" i="2"/>
  <c r="A110" i="2"/>
  <c r="V110" i="2" s="1"/>
  <c r="A905" i="3" s="1"/>
  <c r="B110" i="2"/>
  <c r="D110" i="2"/>
  <c r="F110" i="2"/>
  <c r="B428" i="3" s="1"/>
  <c r="H110" i="2"/>
  <c r="I110" i="2"/>
  <c r="J110" i="2"/>
  <c r="K110" i="2"/>
  <c r="B587" i="3" s="1"/>
  <c r="M110" i="2"/>
  <c r="N110" i="2"/>
  <c r="O110" i="2"/>
  <c r="P110" i="2"/>
  <c r="B746" i="3" s="1"/>
  <c r="R110" i="2"/>
  <c r="S110" i="2"/>
  <c r="T110" i="2"/>
  <c r="U110" i="2"/>
  <c r="B905" i="3" s="1"/>
  <c r="W110" i="2"/>
  <c r="X110" i="2"/>
  <c r="Y110" i="2"/>
  <c r="A111" i="2"/>
  <c r="C111" i="2" s="1"/>
  <c r="B111" i="2"/>
  <c r="D111" i="2"/>
  <c r="B270" i="3" s="1"/>
  <c r="E111" i="2"/>
  <c r="F111" i="2"/>
  <c r="B429" i="3" s="1"/>
  <c r="H111" i="2"/>
  <c r="I111" i="2"/>
  <c r="J111" i="2"/>
  <c r="K111" i="2"/>
  <c r="B588" i="3" s="1"/>
  <c r="M111" i="2"/>
  <c r="N111" i="2"/>
  <c r="O111" i="2"/>
  <c r="P111" i="2"/>
  <c r="B747" i="3" s="1"/>
  <c r="Q111" i="2"/>
  <c r="A747" i="3" s="1"/>
  <c r="R111" i="2"/>
  <c r="S111" i="2"/>
  <c r="T111" i="2"/>
  <c r="U111" i="2"/>
  <c r="B906" i="3" s="1"/>
  <c r="W111" i="2"/>
  <c r="X111" i="2"/>
  <c r="Y111" i="2"/>
  <c r="A112" i="2"/>
  <c r="C112" i="2" s="1"/>
  <c r="A112" i="3" s="1"/>
  <c r="B112" i="2"/>
  <c r="D112" i="2"/>
  <c r="F112" i="2"/>
  <c r="B430" i="3" s="1"/>
  <c r="H112" i="2"/>
  <c r="I112" i="2"/>
  <c r="J112" i="2"/>
  <c r="K112" i="2"/>
  <c r="B589" i="3" s="1"/>
  <c r="M112" i="2"/>
  <c r="N112" i="2"/>
  <c r="O112" i="2"/>
  <c r="P112" i="2"/>
  <c r="B748" i="3" s="1"/>
  <c r="Q112" i="2"/>
  <c r="A748" i="3" s="1"/>
  <c r="R112" i="2"/>
  <c r="S112" i="2"/>
  <c r="T112" i="2"/>
  <c r="U112" i="2"/>
  <c r="B907" i="3" s="1"/>
  <c r="W112" i="2"/>
  <c r="X112" i="2"/>
  <c r="Y112" i="2"/>
  <c r="A113" i="2"/>
  <c r="V113" i="2" s="1"/>
  <c r="A908" i="3" s="1"/>
  <c r="B113" i="2"/>
  <c r="D113" i="2"/>
  <c r="F113" i="2"/>
  <c r="B431" i="3" s="1"/>
  <c r="H113" i="2"/>
  <c r="I113" i="2"/>
  <c r="J113" i="2"/>
  <c r="K113" i="2"/>
  <c r="B590" i="3" s="1"/>
  <c r="M113" i="2"/>
  <c r="N113" i="2"/>
  <c r="O113" i="2"/>
  <c r="P113" i="2"/>
  <c r="B749" i="3" s="1"/>
  <c r="R113" i="2"/>
  <c r="S113" i="2"/>
  <c r="T113" i="2"/>
  <c r="U113" i="2"/>
  <c r="B908" i="3" s="1"/>
  <c r="W113" i="2"/>
  <c r="X113" i="2"/>
  <c r="Y113" i="2"/>
  <c r="A114" i="2"/>
  <c r="V114" i="2" s="1"/>
  <c r="A909" i="3" s="1"/>
  <c r="B114" i="2"/>
  <c r="D114" i="2"/>
  <c r="E114" i="2"/>
  <c r="F114" i="2"/>
  <c r="B432" i="3" s="1"/>
  <c r="H114" i="2"/>
  <c r="I114" i="2"/>
  <c r="J114" i="2"/>
  <c r="K114" i="2"/>
  <c r="B591" i="3" s="1"/>
  <c r="M114" i="2"/>
  <c r="N114" i="2"/>
  <c r="O114" i="2"/>
  <c r="P114" i="2"/>
  <c r="B750" i="3" s="1"/>
  <c r="Q114" i="2"/>
  <c r="A750" i="3" s="1"/>
  <c r="R114" i="2"/>
  <c r="S114" i="2"/>
  <c r="T114" i="2"/>
  <c r="U114" i="2"/>
  <c r="B909" i="3" s="1"/>
  <c r="W114" i="2"/>
  <c r="X114" i="2"/>
  <c r="Y114" i="2"/>
  <c r="A115" i="2"/>
  <c r="C115" i="2" s="1"/>
  <c r="B115" i="2"/>
  <c r="D115" i="2"/>
  <c r="B274" i="3" s="1"/>
  <c r="F115" i="2"/>
  <c r="B433" i="3" s="1"/>
  <c r="H115" i="2"/>
  <c r="I115" i="2"/>
  <c r="J115" i="2"/>
  <c r="K115" i="2"/>
  <c r="B592" i="3" s="1"/>
  <c r="M115" i="2"/>
  <c r="N115" i="2"/>
  <c r="O115" i="2"/>
  <c r="P115" i="2"/>
  <c r="B751" i="3" s="1"/>
  <c r="R115" i="2"/>
  <c r="S115" i="2"/>
  <c r="T115" i="2"/>
  <c r="U115" i="2"/>
  <c r="B910" i="3" s="1"/>
  <c r="W115" i="2"/>
  <c r="X115" i="2"/>
  <c r="Y115" i="2"/>
  <c r="A116" i="2"/>
  <c r="C116" i="2" s="1"/>
  <c r="B116" i="2"/>
  <c r="D116" i="2"/>
  <c r="F116" i="2"/>
  <c r="B434" i="3" s="1"/>
  <c r="H116" i="2"/>
  <c r="I116" i="2"/>
  <c r="J116" i="2"/>
  <c r="K116" i="2"/>
  <c r="B593" i="3" s="1"/>
  <c r="M116" i="2"/>
  <c r="N116" i="2"/>
  <c r="O116" i="2"/>
  <c r="P116" i="2"/>
  <c r="B752" i="3" s="1"/>
  <c r="Q116" i="2"/>
  <c r="A752" i="3" s="1"/>
  <c r="R116" i="2"/>
  <c r="S116" i="2"/>
  <c r="T116" i="2"/>
  <c r="U116" i="2"/>
  <c r="B911" i="3" s="1"/>
  <c r="W116" i="2"/>
  <c r="X116" i="2"/>
  <c r="Y116" i="2"/>
  <c r="A117" i="2"/>
  <c r="V117" i="2" s="1"/>
  <c r="A912" i="3" s="1"/>
  <c r="B117" i="2"/>
  <c r="D117" i="2"/>
  <c r="E117" i="2"/>
  <c r="F117" i="2"/>
  <c r="B435" i="3" s="1"/>
  <c r="H117" i="2"/>
  <c r="I117" i="2"/>
  <c r="J117" i="2"/>
  <c r="K117" i="2"/>
  <c r="B594" i="3" s="1"/>
  <c r="L117" i="2"/>
  <c r="A594" i="3" s="1"/>
  <c r="M117" i="2"/>
  <c r="N117" i="2"/>
  <c r="O117" i="2"/>
  <c r="P117" i="2"/>
  <c r="B753" i="3" s="1"/>
  <c r="R117" i="2"/>
  <c r="S117" i="2"/>
  <c r="T117" i="2"/>
  <c r="U117" i="2"/>
  <c r="B912" i="3" s="1"/>
  <c r="W117" i="2"/>
  <c r="X117" i="2"/>
  <c r="Y117" i="2"/>
  <c r="A118" i="2"/>
  <c r="C118" i="2" s="1"/>
  <c r="B118" i="2"/>
  <c r="D118" i="2"/>
  <c r="E118" i="2"/>
  <c r="F118" i="2"/>
  <c r="B436" i="3" s="1"/>
  <c r="H118" i="2"/>
  <c r="I118" i="2"/>
  <c r="J118" i="2"/>
  <c r="K118" i="2"/>
  <c r="B595" i="3" s="1"/>
  <c r="L118" i="2"/>
  <c r="A595" i="3" s="1"/>
  <c r="M118" i="2"/>
  <c r="N118" i="2"/>
  <c r="O118" i="2"/>
  <c r="P118" i="2"/>
  <c r="B754" i="3" s="1"/>
  <c r="Q118" i="2"/>
  <c r="A754" i="3" s="1"/>
  <c r="R118" i="2"/>
  <c r="S118" i="2"/>
  <c r="T118" i="2"/>
  <c r="U118" i="2"/>
  <c r="B913" i="3" s="1"/>
  <c r="V118" i="2"/>
  <c r="A913" i="3" s="1"/>
  <c r="W118" i="2"/>
  <c r="X118" i="2"/>
  <c r="Y118" i="2"/>
  <c r="A119" i="2"/>
  <c r="C119" i="2" s="1"/>
  <c r="B119" i="2"/>
  <c r="D119" i="2"/>
  <c r="B278" i="3" s="1"/>
  <c r="F119" i="2"/>
  <c r="B437" i="3" s="1"/>
  <c r="H119" i="2"/>
  <c r="I119" i="2"/>
  <c r="J119" i="2"/>
  <c r="K119" i="2"/>
  <c r="B596" i="3" s="1"/>
  <c r="M119" i="2"/>
  <c r="N119" i="2"/>
  <c r="O119" i="2"/>
  <c r="P119" i="2"/>
  <c r="B755" i="3" s="1"/>
  <c r="R119" i="2"/>
  <c r="S119" i="2"/>
  <c r="T119" i="2"/>
  <c r="U119" i="2"/>
  <c r="B914" i="3" s="1"/>
  <c r="W119" i="2"/>
  <c r="X119" i="2"/>
  <c r="Y119" i="2"/>
  <c r="A120" i="2"/>
  <c r="C120" i="2" s="1"/>
  <c r="B120" i="2"/>
  <c r="D120" i="2"/>
  <c r="E120" i="2"/>
  <c r="F120" i="2"/>
  <c r="B438" i="3" s="1"/>
  <c r="H120" i="2"/>
  <c r="I120" i="2"/>
  <c r="J120" i="2"/>
  <c r="K120" i="2"/>
  <c r="B597" i="3" s="1"/>
  <c r="L120" i="2"/>
  <c r="A597" i="3" s="1"/>
  <c r="M120" i="2"/>
  <c r="N120" i="2"/>
  <c r="O120" i="2"/>
  <c r="P120" i="2"/>
  <c r="B756" i="3" s="1"/>
  <c r="R120" i="2"/>
  <c r="S120" i="2"/>
  <c r="T120" i="2"/>
  <c r="U120" i="2"/>
  <c r="B915" i="3" s="1"/>
  <c r="V120" i="2"/>
  <c r="A915" i="3" s="1"/>
  <c r="W120" i="2"/>
  <c r="X120" i="2"/>
  <c r="Y120" i="2"/>
  <c r="A121" i="2"/>
  <c r="V121" i="2" s="1"/>
  <c r="A916" i="3" s="1"/>
  <c r="B121" i="2"/>
  <c r="D121" i="2"/>
  <c r="E121" i="2"/>
  <c r="F121" i="2"/>
  <c r="B439" i="3" s="1"/>
  <c r="H121" i="2"/>
  <c r="I121" i="2"/>
  <c r="J121" i="2"/>
  <c r="K121" i="2"/>
  <c r="B598" i="3" s="1"/>
  <c r="M121" i="2"/>
  <c r="N121" i="2"/>
  <c r="O121" i="2"/>
  <c r="P121" i="2"/>
  <c r="B757" i="3" s="1"/>
  <c r="R121" i="2"/>
  <c r="S121" i="2"/>
  <c r="T121" i="2"/>
  <c r="U121" i="2"/>
  <c r="B916" i="3" s="1"/>
  <c r="W121" i="2"/>
  <c r="X121" i="2"/>
  <c r="Y121" i="2"/>
  <c r="A122" i="2"/>
  <c r="L122" i="2" s="1"/>
  <c r="A599" i="3" s="1"/>
  <c r="B122" i="2"/>
  <c r="C122" i="2"/>
  <c r="D122" i="2"/>
  <c r="E122" i="2"/>
  <c r="F122" i="2"/>
  <c r="B440" i="3" s="1"/>
  <c r="G122" i="2"/>
  <c r="A440" i="3" s="1"/>
  <c r="H122" i="2"/>
  <c r="I122" i="2"/>
  <c r="J122" i="2"/>
  <c r="K122" i="2"/>
  <c r="B599" i="3" s="1"/>
  <c r="M122" i="2"/>
  <c r="N122" i="2"/>
  <c r="O122" i="2"/>
  <c r="P122" i="2"/>
  <c r="B758" i="3" s="1"/>
  <c r="Q122" i="2"/>
  <c r="A758" i="3" s="1"/>
  <c r="R122" i="2"/>
  <c r="S122" i="2"/>
  <c r="T122" i="2"/>
  <c r="U122" i="2"/>
  <c r="B917" i="3" s="1"/>
  <c r="W122" i="2"/>
  <c r="X122" i="2"/>
  <c r="Y122" i="2"/>
  <c r="A123" i="2"/>
  <c r="C123" i="2" s="1"/>
  <c r="B123" i="2"/>
  <c r="D123" i="2"/>
  <c r="B282" i="3" s="1"/>
  <c r="F123" i="2"/>
  <c r="B441" i="3" s="1"/>
  <c r="H123" i="2"/>
  <c r="I123" i="2"/>
  <c r="J123" i="2"/>
  <c r="K123" i="2"/>
  <c r="B600" i="3" s="1"/>
  <c r="M123" i="2"/>
  <c r="N123" i="2"/>
  <c r="O123" i="2"/>
  <c r="P123" i="2"/>
  <c r="B759" i="3" s="1"/>
  <c r="R123" i="2"/>
  <c r="S123" i="2"/>
  <c r="T123" i="2"/>
  <c r="U123" i="2"/>
  <c r="B918" i="3" s="1"/>
  <c r="W123" i="2"/>
  <c r="X123" i="2"/>
  <c r="Y123" i="2"/>
  <c r="A124" i="2"/>
  <c r="C124" i="2" s="1"/>
  <c r="B124" i="2"/>
  <c r="D124" i="2"/>
  <c r="F124" i="2"/>
  <c r="B442" i="3" s="1"/>
  <c r="H124" i="2"/>
  <c r="I124" i="2"/>
  <c r="J124" i="2"/>
  <c r="K124" i="2"/>
  <c r="B601" i="3" s="1"/>
  <c r="M124" i="2"/>
  <c r="N124" i="2"/>
  <c r="O124" i="2"/>
  <c r="P124" i="2"/>
  <c r="B760" i="3" s="1"/>
  <c r="R124" i="2"/>
  <c r="S124" i="2"/>
  <c r="T124" i="2"/>
  <c r="U124" i="2"/>
  <c r="B919" i="3" s="1"/>
  <c r="W124" i="2"/>
  <c r="X124" i="2"/>
  <c r="Y124" i="2"/>
  <c r="A125" i="2"/>
  <c r="V125" i="2" s="1"/>
  <c r="A920" i="3" s="1"/>
  <c r="B125" i="2"/>
  <c r="C125" i="2"/>
  <c r="D125" i="2"/>
  <c r="E125" i="2"/>
  <c r="F125" i="2"/>
  <c r="B443" i="3" s="1"/>
  <c r="G125" i="2"/>
  <c r="A443" i="3" s="1"/>
  <c r="H125" i="2"/>
  <c r="I125" i="2"/>
  <c r="J125" i="2"/>
  <c r="K125" i="2"/>
  <c r="B602" i="3" s="1"/>
  <c r="M125" i="2"/>
  <c r="N125" i="2"/>
  <c r="O125" i="2"/>
  <c r="P125" i="2"/>
  <c r="B761" i="3" s="1"/>
  <c r="Q125" i="2"/>
  <c r="A761" i="3" s="1"/>
  <c r="R125" i="2"/>
  <c r="S125" i="2"/>
  <c r="T125" i="2"/>
  <c r="U125" i="2"/>
  <c r="B920" i="3" s="1"/>
  <c r="W125" i="2"/>
  <c r="X125" i="2"/>
  <c r="Y125" i="2"/>
  <c r="A126" i="2"/>
  <c r="V126" i="2" s="1"/>
  <c r="A921" i="3" s="1"/>
  <c r="B126" i="2"/>
  <c r="C126" i="2"/>
  <c r="D126" i="2"/>
  <c r="E126" i="2"/>
  <c r="F126" i="2"/>
  <c r="B444" i="3" s="1"/>
  <c r="G126" i="2"/>
  <c r="A444" i="3" s="1"/>
  <c r="H126" i="2"/>
  <c r="I126" i="2"/>
  <c r="J126" i="2"/>
  <c r="K126" i="2"/>
  <c r="B603" i="3" s="1"/>
  <c r="M126" i="2"/>
  <c r="N126" i="2"/>
  <c r="O126" i="2"/>
  <c r="P126" i="2"/>
  <c r="B762" i="3" s="1"/>
  <c r="Q126" i="2"/>
  <c r="A762" i="3" s="1"/>
  <c r="R126" i="2"/>
  <c r="S126" i="2"/>
  <c r="T126" i="2"/>
  <c r="U126" i="2"/>
  <c r="B921" i="3" s="1"/>
  <c r="W126" i="2"/>
  <c r="X126" i="2"/>
  <c r="Y126" i="2"/>
  <c r="A127" i="2"/>
  <c r="C127" i="2" s="1"/>
  <c r="B127" i="2"/>
  <c r="D127" i="2"/>
  <c r="B286" i="3" s="1"/>
  <c r="F127" i="2"/>
  <c r="B445" i="3" s="1"/>
  <c r="H127" i="2"/>
  <c r="I127" i="2"/>
  <c r="J127" i="2"/>
  <c r="K127" i="2"/>
  <c r="B604" i="3" s="1"/>
  <c r="M127" i="2"/>
  <c r="N127" i="2"/>
  <c r="O127" i="2"/>
  <c r="P127" i="2"/>
  <c r="B763" i="3" s="1"/>
  <c r="R127" i="2"/>
  <c r="S127" i="2"/>
  <c r="T127" i="2"/>
  <c r="U127" i="2"/>
  <c r="B922" i="3" s="1"/>
  <c r="W127" i="2"/>
  <c r="X127" i="2"/>
  <c r="Y127" i="2"/>
  <c r="A128" i="2"/>
  <c r="C128" i="2" s="1"/>
  <c r="B128" i="2"/>
  <c r="D128" i="2"/>
  <c r="F128" i="2"/>
  <c r="B446" i="3" s="1"/>
  <c r="H128" i="2"/>
  <c r="I128" i="2"/>
  <c r="J128" i="2"/>
  <c r="K128" i="2"/>
  <c r="B605" i="3" s="1"/>
  <c r="M128" i="2"/>
  <c r="N128" i="2"/>
  <c r="O128" i="2"/>
  <c r="P128" i="2"/>
  <c r="B764" i="3" s="1"/>
  <c r="R128" i="2"/>
  <c r="S128" i="2"/>
  <c r="T128" i="2"/>
  <c r="U128" i="2"/>
  <c r="B923" i="3" s="1"/>
  <c r="V128" i="2"/>
  <c r="A923" i="3" s="1"/>
  <c r="W128" i="2"/>
  <c r="X128" i="2"/>
  <c r="Y128" i="2"/>
  <c r="A129" i="2"/>
  <c r="V129" i="2" s="1"/>
  <c r="A924" i="3" s="1"/>
  <c r="B129" i="2"/>
  <c r="D129" i="2"/>
  <c r="F129" i="2"/>
  <c r="B447" i="3" s="1"/>
  <c r="H129" i="2"/>
  <c r="I129" i="2"/>
  <c r="J129" i="2"/>
  <c r="K129" i="2"/>
  <c r="B606" i="3" s="1"/>
  <c r="M129" i="2"/>
  <c r="N129" i="2"/>
  <c r="O129" i="2"/>
  <c r="P129" i="2"/>
  <c r="B765" i="3" s="1"/>
  <c r="R129" i="2"/>
  <c r="S129" i="2"/>
  <c r="T129" i="2"/>
  <c r="U129" i="2"/>
  <c r="B924" i="3" s="1"/>
  <c r="W129" i="2"/>
  <c r="X129" i="2"/>
  <c r="Y129" i="2"/>
  <c r="A130" i="2"/>
  <c r="V130" i="2" s="1"/>
  <c r="A925" i="3" s="1"/>
  <c r="B130" i="2"/>
  <c r="D130" i="2"/>
  <c r="E130" i="2"/>
  <c r="F130" i="2"/>
  <c r="B448" i="3" s="1"/>
  <c r="H130" i="2"/>
  <c r="I130" i="2"/>
  <c r="J130" i="2"/>
  <c r="K130" i="2"/>
  <c r="B607" i="3" s="1"/>
  <c r="M130" i="2"/>
  <c r="N130" i="2"/>
  <c r="O130" i="2"/>
  <c r="P130" i="2"/>
  <c r="B766" i="3" s="1"/>
  <c r="Q130" i="2"/>
  <c r="A766" i="3" s="1"/>
  <c r="R130" i="2"/>
  <c r="S130" i="2"/>
  <c r="T130" i="2"/>
  <c r="U130" i="2"/>
  <c r="B925" i="3" s="1"/>
  <c r="W130" i="2"/>
  <c r="X130" i="2"/>
  <c r="Y130" i="2"/>
  <c r="A131" i="2"/>
  <c r="C131" i="2" s="1"/>
  <c r="B131" i="2"/>
  <c r="D131" i="2"/>
  <c r="B290" i="3" s="1"/>
  <c r="F131" i="2"/>
  <c r="B449" i="3" s="1"/>
  <c r="H131" i="2"/>
  <c r="I131" i="2"/>
  <c r="J131" i="2"/>
  <c r="K131" i="2"/>
  <c r="B608" i="3" s="1"/>
  <c r="M131" i="2"/>
  <c r="N131" i="2"/>
  <c r="O131" i="2"/>
  <c r="P131" i="2"/>
  <c r="B767" i="3" s="1"/>
  <c r="R131" i="2"/>
  <c r="S131" i="2"/>
  <c r="T131" i="2"/>
  <c r="U131" i="2"/>
  <c r="B926" i="3" s="1"/>
  <c r="W131" i="2"/>
  <c r="X131" i="2"/>
  <c r="Y131" i="2"/>
  <c r="A132" i="2"/>
  <c r="C132" i="2" s="1"/>
  <c r="B132" i="2"/>
  <c r="D132" i="2"/>
  <c r="F132" i="2"/>
  <c r="B450" i="3" s="1"/>
  <c r="H132" i="2"/>
  <c r="I132" i="2"/>
  <c r="J132" i="2"/>
  <c r="K132" i="2"/>
  <c r="B609" i="3" s="1"/>
  <c r="M132" i="2"/>
  <c r="N132" i="2"/>
  <c r="O132" i="2"/>
  <c r="P132" i="2"/>
  <c r="B768" i="3" s="1"/>
  <c r="Q132" i="2"/>
  <c r="A768" i="3" s="1"/>
  <c r="R132" i="2"/>
  <c r="S132" i="2"/>
  <c r="T132" i="2"/>
  <c r="U132" i="2"/>
  <c r="B927" i="3" s="1"/>
  <c r="W132" i="2"/>
  <c r="X132" i="2"/>
  <c r="Y132" i="2"/>
  <c r="A133" i="2"/>
  <c r="V133" i="2" s="1"/>
  <c r="A928" i="3" s="1"/>
  <c r="B133" i="2"/>
  <c r="D133" i="2"/>
  <c r="E133" i="2"/>
  <c r="F133" i="2"/>
  <c r="B451" i="3" s="1"/>
  <c r="H133" i="2"/>
  <c r="I133" i="2"/>
  <c r="J133" i="2"/>
  <c r="K133" i="2"/>
  <c r="B610" i="3" s="1"/>
  <c r="L133" i="2"/>
  <c r="A610" i="3" s="1"/>
  <c r="M133" i="2"/>
  <c r="N133" i="2"/>
  <c r="O133" i="2"/>
  <c r="P133" i="2"/>
  <c r="B769" i="3" s="1"/>
  <c r="Q133" i="2"/>
  <c r="A769" i="3" s="1"/>
  <c r="R133" i="2"/>
  <c r="S133" i="2"/>
  <c r="T133" i="2"/>
  <c r="U133" i="2"/>
  <c r="B928" i="3" s="1"/>
  <c r="W133" i="2"/>
  <c r="X133" i="2"/>
  <c r="Y133" i="2"/>
  <c r="A134" i="2"/>
  <c r="C134" i="2" s="1"/>
  <c r="B134" i="2"/>
  <c r="D134" i="2"/>
  <c r="E134" i="2"/>
  <c r="F134" i="2"/>
  <c r="B452" i="3" s="1"/>
  <c r="H134" i="2"/>
  <c r="I134" i="2"/>
  <c r="J134" i="2"/>
  <c r="K134" i="2"/>
  <c r="B611" i="3" s="1"/>
  <c r="L134" i="2"/>
  <c r="A611" i="3" s="1"/>
  <c r="M134" i="2"/>
  <c r="N134" i="2"/>
  <c r="O134" i="2"/>
  <c r="P134" i="2"/>
  <c r="B770" i="3" s="1"/>
  <c r="R134" i="2"/>
  <c r="S134" i="2"/>
  <c r="T134" i="2"/>
  <c r="U134" i="2"/>
  <c r="B929" i="3" s="1"/>
  <c r="V134" i="2"/>
  <c r="A929" i="3" s="1"/>
  <c r="W134" i="2"/>
  <c r="X134" i="2"/>
  <c r="Y134" i="2"/>
  <c r="A135" i="2"/>
  <c r="C135" i="2" s="1"/>
  <c r="B135" i="2"/>
  <c r="D135" i="2"/>
  <c r="B294" i="3" s="1"/>
  <c r="F135" i="2"/>
  <c r="B453" i="3" s="1"/>
  <c r="H135" i="2"/>
  <c r="I135" i="2"/>
  <c r="J135" i="2"/>
  <c r="K135" i="2"/>
  <c r="B612" i="3" s="1"/>
  <c r="M135" i="2"/>
  <c r="N135" i="2"/>
  <c r="O135" i="2"/>
  <c r="P135" i="2"/>
  <c r="B771" i="3" s="1"/>
  <c r="R135" i="2"/>
  <c r="S135" i="2"/>
  <c r="T135" i="2"/>
  <c r="U135" i="2"/>
  <c r="B930" i="3" s="1"/>
  <c r="W135" i="2"/>
  <c r="X135" i="2"/>
  <c r="Y135" i="2"/>
  <c r="A136" i="2"/>
  <c r="C136" i="2" s="1"/>
  <c r="B136" i="2"/>
  <c r="D136" i="2"/>
  <c r="E136" i="2"/>
  <c r="F136" i="2"/>
  <c r="B454" i="3" s="1"/>
  <c r="H136" i="2"/>
  <c r="I136" i="2"/>
  <c r="J136" i="2"/>
  <c r="K136" i="2"/>
  <c r="B613" i="3" s="1"/>
  <c r="L136" i="2"/>
  <c r="A613" i="3" s="1"/>
  <c r="M136" i="2"/>
  <c r="N136" i="2"/>
  <c r="O136" i="2"/>
  <c r="P136" i="2"/>
  <c r="B772" i="3" s="1"/>
  <c r="Q136" i="2"/>
  <c r="A772" i="3" s="1"/>
  <c r="R136" i="2"/>
  <c r="S136" i="2"/>
  <c r="T136" i="2"/>
  <c r="U136" i="2"/>
  <c r="B931" i="3" s="1"/>
  <c r="V136" i="2"/>
  <c r="A931" i="3" s="1"/>
  <c r="W136" i="2"/>
  <c r="X136" i="2"/>
  <c r="Y136" i="2"/>
  <c r="A137" i="2"/>
  <c r="V137" i="2" s="1"/>
  <c r="A932" i="3" s="1"/>
  <c r="B137" i="2"/>
  <c r="C137" i="2"/>
  <c r="D137" i="2"/>
  <c r="E137" i="2"/>
  <c r="F137" i="2"/>
  <c r="B455" i="3" s="1"/>
  <c r="G137" i="2"/>
  <c r="A455" i="3" s="1"/>
  <c r="H137" i="2"/>
  <c r="I137" i="2"/>
  <c r="J137" i="2"/>
  <c r="K137" i="2"/>
  <c r="B614" i="3" s="1"/>
  <c r="M137" i="2"/>
  <c r="N137" i="2"/>
  <c r="O137" i="2"/>
  <c r="P137" i="2"/>
  <c r="B773" i="3" s="1"/>
  <c r="R137" i="2"/>
  <c r="S137" i="2"/>
  <c r="T137" i="2"/>
  <c r="U137" i="2"/>
  <c r="B932" i="3" s="1"/>
  <c r="W137" i="2"/>
  <c r="X137" i="2"/>
  <c r="Y137" i="2"/>
  <c r="A138" i="2"/>
  <c r="C138" i="2" s="1"/>
  <c r="B138" i="2"/>
  <c r="D138" i="2"/>
  <c r="F138" i="2"/>
  <c r="B456" i="3" s="1"/>
  <c r="H138" i="2"/>
  <c r="I138" i="2"/>
  <c r="J138" i="2"/>
  <c r="K138" i="2"/>
  <c r="B615" i="3" s="1"/>
  <c r="M138" i="2"/>
  <c r="N138" i="2"/>
  <c r="O138" i="2"/>
  <c r="P138" i="2"/>
  <c r="B774" i="3" s="1"/>
  <c r="R138" i="2"/>
  <c r="S138" i="2"/>
  <c r="T138" i="2"/>
  <c r="U138" i="2"/>
  <c r="B933" i="3" s="1"/>
  <c r="W138" i="2"/>
  <c r="X138" i="2"/>
  <c r="Y138" i="2"/>
  <c r="A139" i="2"/>
  <c r="C139" i="2" s="1"/>
  <c r="B139" i="2"/>
  <c r="D139" i="2"/>
  <c r="B298" i="3" s="1"/>
  <c r="F139" i="2"/>
  <c r="B457" i="3" s="1"/>
  <c r="H139" i="2"/>
  <c r="I139" i="2"/>
  <c r="J139" i="2"/>
  <c r="K139" i="2"/>
  <c r="B616" i="3" s="1"/>
  <c r="M139" i="2"/>
  <c r="N139" i="2"/>
  <c r="O139" i="2"/>
  <c r="P139" i="2"/>
  <c r="B775" i="3" s="1"/>
  <c r="R139" i="2"/>
  <c r="S139" i="2"/>
  <c r="T139" i="2"/>
  <c r="U139" i="2"/>
  <c r="B934" i="3" s="1"/>
  <c r="W139" i="2"/>
  <c r="X139" i="2"/>
  <c r="Y139" i="2"/>
  <c r="A140" i="2"/>
  <c r="C140" i="2" s="1"/>
  <c r="B140" i="2"/>
  <c r="D140" i="2"/>
  <c r="F140" i="2"/>
  <c r="B458" i="3" s="1"/>
  <c r="H140" i="2"/>
  <c r="I140" i="2"/>
  <c r="J140" i="2"/>
  <c r="K140" i="2"/>
  <c r="B617" i="3" s="1"/>
  <c r="M140" i="2"/>
  <c r="N140" i="2"/>
  <c r="O140" i="2"/>
  <c r="P140" i="2"/>
  <c r="B776" i="3" s="1"/>
  <c r="Q140" i="2"/>
  <c r="A776" i="3" s="1"/>
  <c r="R140" i="2"/>
  <c r="S140" i="2"/>
  <c r="T140" i="2"/>
  <c r="U140" i="2"/>
  <c r="B935" i="3" s="1"/>
  <c r="W140" i="2"/>
  <c r="X140" i="2"/>
  <c r="Y140" i="2"/>
  <c r="A141" i="2"/>
  <c r="V141" i="2" s="1"/>
  <c r="A936" i="3" s="1"/>
  <c r="B141" i="2"/>
  <c r="D141" i="2"/>
  <c r="E141" i="2"/>
  <c r="F141" i="2"/>
  <c r="B459" i="3" s="1"/>
  <c r="H141" i="2"/>
  <c r="I141" i="2"/>
  <c r="J141" i="2"/>
  <c r="K141" i="2"/>
  <c r="B618" i="3" s="1"/>
  <c r="M141" i="2"/>
  <c r="N141" i="2"/>
  <c r="O141" i="2"/>
  <c r="P141" i="2"/>
  <c r="B777" i="3" s="1"/>
  <c r="R141" i="2"/>
  <c r="S141" i="2"/>
  <c r="T141" i="2"/>
  <c r="U141" i="2"/>
  <c r="B936" i="3" s="1"/>
  <c r="W141" i="2"/>
  <c r="X141" i="2"/>
  <c r="Y141" i="2"/>
  <c r="A142" i="2"/>
  <c r="C142" i="2" s="1"/>
  <c r="A142" i="3" s="1"/>
  <c r="B142" i="2"/>
  <c r="D142" i="2"/>
  <c r="E142" i="2"/>
  <c r="F142" i="2"/>
  <c r="B460" i="3" s="1"/>
  <c r="H142" i="2"/>
  <c r="I142" i="2"/>
  <c r="J142" i="2"/>
  <c r="K142" i="2"/>
  <c r="B619" i="3" s="1"/>
  <c r="L142" i="2"/>
  <c r="A619" i="3" s="1"/>
  <c r="M142" i="2"/>
  <c r="N142" i="2"/>
  <c r="O142" i="2"/>
  <c r="P142" i="2"/>
  <c r="B778" i="3" s="1"/>
  <c r="Q142" i="2"/>
  <c r="A778" i="3" s="1"/>
  <c r="R142" i="2"/>
  <c r="S142" i="2"/>
  <c r="T142" i="2"/>
  <c r="U142" i="2"/>
  <c r="B937" i="3" s="1"/>
  <c r="V142" i="2"/>
  <c r="A937" i="3" s="1"/>
  <c r="W142" i="2"/>
  <c r="X142" i="2"/>
  <c r="Y142" i="2"/>
  <c r="A143" i="2"/>
  <c r="C143" i="2" s="1"/>
  <c r="B143" i="2"/>
  <c r="D143" i="2"/>
  <c r="B302" i="3" s="1"/>
  <c r="F143" i="2"/>
  <c r="B461" i="3" s="1"/>
  <c r="H143" i="2"/>
  <c r="I143" i="2"/>
  <c r="J143" i="2"/>
  <c r="K143" i="2"/>
  <c r="B620" i="3" s="1"/>
  <c r="M143" i="2"/>
  <c r="N143" i="2"/>
  <c r="O143" i="2"/>
  <c r="P143" i="2"/>
  <c r="B779" i="3" s="1"/>
  <c r="R143" i="2"/>
  <c r="S143" i="2"/>
  <c r="T143" i="2"/>
  <c r="U143" i="2"/>
  <c r="B938" i="3" s="1"/>
  <c r="W143" i="2"/>
  <c r="X143" i="2"/>
  <c r="Y143" i="2"/>
  <c r="A144" i="2"/>
  <c r="C144" i="2" s="1"/>
  <c r="B144" i="2"/>
  <c r="D144" i="2"/>
  <c r="E144" i="2"/>
  <c r="F144" i="2"/>
  <c r="B462" i="3" s="1"/>
  <c r="H144" i="2"/>
  <c r="I144" i="2"/>
  <c r="J144" i="2"/>
  <c r="K144" i="2"/>
  <c r="B621" i="3" s="1"/>
  <c r="L144" i="2"/>
  <c r="A621" i="3" s="1"/>
  <c r="M144" i="2"/>
  <c r="N144" i="2"/>
  <c r="O144" i="2"/>
  <c r="P144" i="2"/>
  <c r="B780" i="3" s="1"/>
  <c r="R144" i="2"/>
  <c r="S144" i="2"/>
  <c r="T144" i="2"/>
  <c r="U144" i="2"/>
  <c r="B939" i="3" s="1"/>
  <c r="V144" i="2"/>
  <c r="A939" i="3" s="1"/>
  <c r="W144" i="2"/>
  <c r="X144" i="2"/>
  <c r="Y144" i="2"/>
  <c r="A145" i="2"/>
  <c r="V145" i="2" s="1"/>
  <c r="A940" i="3" s="1"/>
  <c r="B145" i="2"/>
  <c r="D145" i="2"/>
  <c r="E145" i="2"/>
  <c r="F145" i="2"/>
  <c r="B463" i="3" s="1"/>
  <c r="H145" i="2"/>
  <c r="I145" i="2"/>
  <c r="J145" i="2"/>
  <c r="K145" i="2"/>
  <c r="B622" i="3" s="1"/>
  <c r="M145" i="2"/>
  <c r="N145" i="2"/>
  <c r="O145" i="2"/>
  <c r="P145" i="2"/>
  <c r="B781" i="3" s="1"/>
  <c r="R145" i="2"/>
  <c r="S145" i="2"/>
  <c r="T145" i="2"/>
  <c r="U145" i="2"/>
  <c r="B940" i="3" s="1"/>
  <c r="W145" i="2"/>
  <c r="X145" i="2"/>
  <c r="Y145" i="2"/>
  <c r="A146" i="2"/>
  <c r="C146" i="2" s="1"/>
  <c r="A146" i="3" s="1"/>
  <c r="B146" i="2"/>
  <c r="D146" i="2"/>
  <c r="F146" i="2"/>
  <c r="B464" i="3" s="1"/>
  <c r="H146" i="2"/>
  <c r="I146" i="2"/>
  <c r="J146" i="2"/>
  <c r="K146" i="2"/>
  <c r="B623" i="3" s="1"/>
  <c r="M146" i="2"/>
  <c r="N146" i="2"/>
  <c r="O146" i="2"/>
  <c r="P146" i="2"/>
  <c r="B782" i="3" s="1"/>
  <c r="Q146" i="2"/>
  <c r="A782" i="3" s="1"/>
  <c r="R146" i="2"/>
  <c r="S146" i="2"/>
  <c r="T146" i="2"/>
  <c r="U146" i="2"/>
  <c r="B941" i="3" s="1"/>
  <c r="W146" i="2"/>
  <c r="X146" i="2"/>
  <c r="Y146" i="2"/>
  <c r="A147" i="2"/>
  <c r="C147" i="2" s="1"/>
  <c r="B147" i="2"/>
  <c r="D147" i="2"/>
  <c r="B306" i="3" s="1"/>
  <c r="F147" i="2"/>
  <c r="B465" i="3" s="1"/>
  <c r="H147" i="2"/>
  <c r="I147" i="2"/>
  <c r="J147" i="2"/>
  <c r="K147" i="2"/>
  <c r="B624" i="3" s="1"/>
  <c r="M147" i="2"/>
  <c r="N147" i="2"/>
  <c r="O147" i="2"/>
  <c r="P147" i="2"/>
  <c r="B783" i="3" s="1"/>
  <c r="R147" i="2"/>
  <c r="S147" i="2"/>
  <c r="T147" i="2"/>
  <c r="U147" i="2"/>
  <c r="B942" i="3" s="1"/>
  <c r="W147" i="2"/>
  <c r="X147" i="2"/>
  <c r="Y147" i="2"/>
  <c r="A148" i="2"/>
  <c r="C148" i="2" s="1"/>
  <c r="B148" i="2"/>
  <c r="D148" i="2"/>
  <c r="F148" i="2"/>
  <c r="B466" i="3" s="1"/>
  <c r="H148" i="2"/>
  <c r="I148" i="2"/>
  <c r="J148" i="2"/>
  <c r="K148" i="2"/>
  <c r="B625" i="3" s="1"/>
  <c r="M148" i="2"/>
  <c r="N148" i="2"/>
  <c r="O148" i="2"/>
  <c r="P148" i="2"/>
  <c r="B784" i="3" s="1"/>
  <c r="Q148" i="2"/>
  <c r="A784" i="3" s="1"/>
  <c r="R148" i="2"/>
  <c r="S148" i="2"/>
  <c r="T148" i="2"/>
  <c r="U148" i="2"/>
  <c r="B943" i="3" s="1"/>
  <c r="W148" i="2"/>
  <c r="X148" i="2"/>
  <c r="Y148" i="2"/>
  <c r="A149" i="2"/>
  <c r="V149" i="2" s="1"/>
  <c r="A944" i="3" s="1"/>
  <c r="B149" i="2"/>
  <c r="C149" i="2"/>
  <c r="D149" i="2"/>
  <c r="E149" i="2"/>
  <c r="F149" i="2"/>
  <c r="B467" i="3" s="1"/>
  <c r="G149" i="2"/>
  <c r="A467" i="3" s="1"/>
  <c r="H149" i="2"/>
  <c r="I149" i="2"/>
  <c r="J149" i="2"/>
  <c r="K149" i="2"/>
  <c r="B626" i="3" s="1"/>
  <c r="M149" i="2"/>
  <c r="N149" i="2"/>
  <c r="O149" i="2"/>
  <c r="P149" i="2"/>
  <c r="B785" i="3" s="1"/>
  <c r="R149" i="2"/>
  <c r="S149" i="2"/>
  <c r="T149" i="2"/>
  <c r="U149" i="2"/>
  <c r="B944" i="3" s="1"/>
  <c r="W149" i="2"/>
  <c r="X149" i="2"/>
  <c r="Y149" i="2"/>
  <c r="A150" i="2"/>
  <c r="C150" i="2" s="1"/>
  <c r="A150" i="3" s="1"/>
  <c r="B150" i="2"/>
  <c r="D150" i="2"/>
  <c r="E150" i="2"/>
  <c r="F150" i="2"/>
  <c r="B468" i="3" s="1"/>
  <c r="H150" i="2"/>
  <c r="I150" i="2"/>
  <c r="J150" i="2"/>
  <c r="K150" i="2"/>
  <c r="B627" i="3" s="1"/>
  <c r="L150" i="2"/>
  <c r="A627" i="3" s="1"/>
  <c r="M150" i="2"/>
  <c r="N150" i="2"/>
  <c r="O150" i="2"/>
  <c r="P150" i="2"/>
  <c r="B786" i="3" s="1"/>
  <c r="R150" i="2"/>
  <c r="S150" i="2"/>
  <c r="T150" i="2"/>
  <c r="U150" i="2"/>
  <c r="B945" i="3" s="1"/>
  <c r="V150" i="2"/>
  <c r="A945" i="3" s="1"/>
  <c r="W150" i="2"/>
  <c r="X150" i="2"/>
  <c r="Y150" i="2"/>
  <c r="A151" i="2"/>
  <c r="C151" i="2" s="1"/>
  <c r="B151" i="2"/>
  <c r="D151" i="2"/>
  <c r="F151" i="2"/>
  <c r="B469" i="3" s="1"/>
  <c r="H151" i="2"/>
  <c r="I151" i="2"/>
  <c r="J151" i="2"/>
  <c r="K151" i="2"/>
  <c r="B628" i="3" s="1"/>
  <c r="M151" i="2"/>
  <c r="N151" i="2"/>
  <c r="O151" i="2"/>
  <c r="P151" i="2"/>
  <c r="B787" i="3" s="1"/>
  <c r="R151" i="2"/>
  <c r="S151" i="2"/>
  <c r="T151" i="2"/>
  <c r="U151" i="2"/>
  <c r="B946" i="3" s="1"/>
  <c r="W151" i="2"/>
  <c r="X151" i="2"/>
  <c r="Y151" i="2"/>
  <c r="A152" i="2"/>
  <c r="C152" i="2" s="1"/>
  <c r="B152" i="2"/>
  <c r="D152" i="2"/>
  <c r="E152" i="2"/>
  <c r="F152" i="2"/>
  <c r="B470" i="3" s="1"/>
  <c r="H152" i="2"/>
  <c r="I152" i="2"/>
  <c r="J152" i="2"/>
  <c r="K152" i="2"/>
  <c r="B629" i="3" s="1"/>
  <c r="L152" i="2"/>
  <c r="A629" i="3" s="1"/>
  <c r="M152" i="2"/>
  <c r="N152" i="2"/>
  <c r="O152" i="2"/>
  <c r="P152" i="2"/>
  <c r="B788" i="3" s="1"/>
  <c r="Q152" i="2"/>
  <c r="A788" i="3" s="1"/>
  <c r="R152" i="2"/>
  <c r="S152" i="2"/>
  <c r="T152" i="2"/>
  <c r="U152" i="2"/>
  <c r="B947" i="3" s="1"/>
  <c r="V152" i="2"/>
  <c r="A947" i="3" s="1"/>
  <c r="W152" i="2"/>
  <c r="X152" i="2"/>
  <c r="Y152" i="2"/>
  <c r="A153" i="2"/>
  <c r="V153" i="2" s="1"/>
  <c r="A948" i="3" s="1"/>
  <c r="B153" i="2"/>
  <c r="D153" i="2"/>
  <c r="E153" i="2"/>
  <c r="F153" i="2"/>
  <c r="B471" i="3" s="1"/>
  <c r="H153" i="2"/>
  <c r="I153" i="2"/>
  <c r="J153" i="2"/>
  <c r="K153" i="2"/>
  <c r="B630" i="3" s="1"/>
  <c r="M153" i="2"/>
  <c r="N153" i="2"/>
  <c r="O153" i="2"/>
  <c r="P153" i="2"/>
  <c r="B789" i="3" s="1"/>
  <c r="R153" i="2"/>
  <c r="S153" i="2"/>
  <c r="T153" i="2"/>
  <c r="U153" i="2"/>
  <c r="B948" i="3" s="1"/>
  <c r="W153" i="2"/>
  <c r="X153" i="2"/>
  <c r="Y153" i="2"/>
  <c r="A154" i="2"/>
  <c r="C154" i="2" s="1"/>
  <c r="A154" i="3" s="1"/>
  <c r="B154" i="2"/>
  <c r="D154" i="2"/>
  <c r="B313" i="3" s="1"/>
  <c r="F154" i="2"/>
  <c r="B472" i="3" s="1"/>
  <c r="H154" i="2"/>
  <c r="I154" i="2"/>
  <c r="J154" i="2"/>
  <c r="K154" i="2"/>
  <c r="B631" i="3" s="1"/>
  <c r="M154" i="2"/>
  <c r="N154" i="2"/>
  <c r="O154" i="2"/>
  <c r="P154" i="2"/>
  <c r="B790" i="3" s="1"/>
  <c r="Q154" i="2"/>
  <c r="A790" i="3" s="1"/>
  <c r="R154" i="2"/>
  <c r="S154" i="2"/>
  <c r="T154" i="2"/>
  <c r="U154" i="2"/>
  <c r="B949" i="3" s="1"/>
  <c r="W154" i="2"/>
  <c r="X154" i="2"/>
  <c r="Y154" i="2"/>
  <c r="A155" i="2"/>
  <c r="C155" i="2" s="1"/>
  <c r="B155" i="2"/>
  <c r="D155" i="2"/>
  <c r="B314" i="3" s="1"/>
  <c r="F155" i="2"/>
  <c r="B473" i="3" s="1"/>
  <c r="H155" i="2"/>
  <c r="I155" i="2"/>
  <c r="J155" i="2"/>
  <c r="K155" i="2"/>
  <c r="B632" i="3" s="1"/>
  <c r="M155" i="2"/>
  <c r="N155" i="2"/>
  <c r="O155" i="2"/>
  <c r="P155" i="2"/>
  <c r="B791" i="3" s="1"/>
  <c r="R155" i="2"/>
  <c r="S155" i="2"/>
  <c r="T155" i="2"/>
  <c r="U155" i="2"/>
  <c r="B950" i="3" s="1"/>
  <c r="W155" i="2"/>
  <c r="X155" i="2"/>
  <c r="Y155" i="2"/>
  <c r="A156" i="2"/>
  <c r="C156" i="2" s="1"/>
  <c r="B156" i="2"/>
  <c r="D156" i="2"/>
  <c r="F156" i="2"/>
  <c r="B474" i="3" s="1"/>
  <c r="H156" i="2"/>
  <c r="I156" i="2"/>
  <c r="J156" i="2"/>
  <c r="K156" i="2"/>
  <c r="B633" i="3" s="1"/>
  <c r="M156" i="2"/>
  <c r="N156" i="2"/>
  <c r="O156" i="2"/>
  <c r="P156" i="2"/>
  <c r="B792" i="3" s="1"/>
  <c r="R156" i="2"/>
  <c r="S156" i="2"/>
  <c r="T156" i="2"/>
  <c r="U156" i="2"/>
  <c r="B951" i="3" s="1"/>
  <c r="W156" i="2"/>
  <c r="X156" i="2"/>
  <c r="Y156" i="2"/>
  <c r="A157" i="2"/>
  <c r="V157" i="2" s="1"/>
  <c r="A952" i="3" s="1"/>
  <c r="B157" i="2"/>
  <c r="D157" i="2"/>
  <c r="E157" i="2"/>
  <c r="F157" i="2"/>
  <c r="B475" i="3" s="1"/>
  <c r="H157" i="2"/>
  <c r="I157" i="2"/>
  <c r="J157" i="2"/>
  <c r="K157" i="2"/>
  <c r="B634" i="3" s="1"/>
  <c r="M157" i="2"/>
  <c r="N157" i="2"/>
  <c r="O157" i="2"/>
  <c r="P157" i="2"/>
  <c r="B793" i="3" s="1"/>
  <c r="R157" i="2"/>
  <c r="S157" i="2"/>
  <c r="T157" i="2"/>
  <c r="U157" i="2"/>
  <c r="B952" i="3" s="1"/>
  <c r="W157" i="2"/>
  <c r="X157" i="2"/>
  <c r="Y157" i="2"/>
  <c r="A158" i="2"/>
  <c r="C158" i="2" s="1"/>
  <c r="A158" i="3" s="1"/>
  <c r="B158" i="2"/>
  <c r="D158" i="2"/>
  <c r="B317" i="3" s="1"/>
  <c r="E158" i="2"/>
  <c r="F158" i="2"/>
  <c r="B476" i="3" s="1"/>
  <c r="H158" i="2"/>
  <c r="I158" i="2"/>
  <c r="J158" i="2"/>
  <c r="K158" i="2"/>
  <c r="B635" i="3" s="1"/>
  <c r="L158" i="2"/>
  <c r="A635" i="3" s="1"/>
  <c r="M158" i="2"/>
  <c r="N158" i="2"/>
  <c r="O158" i="2"/>
  <c r="P158" i="2"/>
  <c r="B794" i="3" s="1"/>
  <c r="Q158" i="2"/>
  <c r="A794" i="3" s="1"/>
  <c r="R158" i="2"/>
  <c r="S158" i="2"/>
  <c r="T158" i="2"/>
  <c r="U158" i="2"/>
  <c r="B953" i="3" s="1"/>
  <c r="V158" i="2"/>
  <c r="A953" i="3" s="1"/>
  <c r="W158" i="2"/>
  <c r="X158" i="2"/>
  <c r="Y158" i="2"/>
  <c r="A159" i="2"/>
  <c r="C159" i="2" s="1"/>
  <c r="B159" i="2"/>
  <c r="D159" i="2"/>
  <c r="B318" i="3" s="1"/>
  <c r="F159" i="2"/>
  <c r="B477" i="3" s="1"/>
  <c r="H159" i="2"/>
  <c r="I159" i="2"/>
  <c r="J159" i="2"/>
  <c r="K159" i="2"/>
  <c r="B636" i="3" s="1"/>
  <c r="M159" i="2"/>
  <c r="N159" i="2"/>
  <c r="O159" i="2"/>
  <c r="P159" i="2"/>
  <c r="B795" i="3" s="1"/>
  <c r="R159" i="2"/>
  <c r="S159" i="2"/>
  <c r="T159" i="2"/>
  <c r="U159" i="2"/>
  <c r="B954" i="3" s="1"/>
  <c r="W159" i="2"/>
  <c r="X159" i="2"/>
  <c r="Y159" i="2"/>
  <c r="A160" i="2"/>
  <c r="C160" i="2" s="1"/>
  <c r="B160" i="2"/>
  <c r="D160" i="2"/>
  <c r="E160" i="2"/>
  <c r="F160" i="2"/>
  <c r="B478" i="3" s="1"/>
  <c r="H160" i="2"/>
  <c r="I160" i="2"/>
  <c r="J160" i="2"/>
  <c r="K160" i="2"/>
  <c r="B637" i="3" s="1"/>
  <c r="L160" i="2"/>
  <c r="A637" i="3" s="1"/>
  <c r="M160" i="2"/>
  <c r="N160" i="2"/>
  <c r="O160" i="2"/>
  <c r="P160" i="2"/>
  <c r="B796" i="3" s="1"/>
  <c r="R160" i="2"/>
  <c r="S160" i="2"/>
  <c r="T160" i="2"/>
  <c r="U160" i="2"/>
  <c r="V160" i="2"/>
  <c r="W160" i="2"/>
  <c r="X160" i="2"/>
  <c r="Y160" i="2"/>
  <c r="A161" i="2"/>
  <c r="V161" i="2" s="1"/>
  <c r="B161" i="2"/>
  <c r="C161" i="2"/>
  <c r="D161" i="2"/>
  <c r="E161" i="2"/>
  <c r="F161" i="2"/>
  <c r="B479" i="3" s="1"/>
  <c r="G161" i="2"/>
  <c r="A479" i="3" s="1"/>
  <c r="H161" i="2"/>
  <c r="I161" i="2"/>
  <c r="J161" i="2"/>
  <c r="K161" i="2"/>
  <c r="B638" i="3" s="1"/>
  <c r="M161" i="2"/>
  <c r="N161" i="2"/>
  <c r="O161" i="2"/>
  <c r="P161" i="2"/>
  <c r="B797" i="3" s="1"/>
  <c r="R161" i="2"/>
  <c r="S161" i="2"/>
  <c r="T161" i="2"/>
  <c r="U161" i="2"/>
  <c r="W161" i="2"/>
  <c r="X161" i="2"/>
  <c r="Y161" i="2"/>
  <c r="A162" i="2"/>
  <c r="C162" i="2" s="1"/>
  <c r="A162" i="3" s="1"/>
  <c r="B162" i="2"/>
  <c r="D162" i="2"/>
  <c r="B321" i="3" s="1"/>
  <c r="F162" i="2"/>
  <c r="B480" i="3" s="1"/>
  <c r="H162" i="2"/>
  <c r="I162" i="2"/>
  <c r="J162" i="2"/>
  <c r="K162" i="2"/>
  <c r="B639" i="3" s="1"/>
  <c r="M162" i="2"/>
  <c r="N162" i="2"/>
  <c r="O162" i="2"/>
  <c r="P162" i="2"/>
  <c r="B798" i="3" s="1"/>
  <c r="R162" i="2"/>
  <c r="S162" i="2"/>
  <c r="T162" i="2"/>
  <c r="U162" i="2"/>
  <c r="W162" i="2"/>
  <c r="X162" i="2"/>
  <c r="Y162" i="2"/>
  <c r="G145" i="2" l="1"/>
  <c r="A463" i="3" s="1"/>
  <c r="C145" i="2"/>
  <c r="Q138" i="2"/>
  <c r="A774" i="3" s="1"/>
  <c r="G121" i="2"/>
  <c r="A439" i="3" s="1"/>
  <c r="C121" i="2"/>
  <c r="G88" i="2"/>
  <c r="C88" i="2"/>
  <c r="G85" i="2"/>
  <c r="C85" i="2"/>
  <c r="V82" i="2"/>
  <c r="A877" i="3" s="1"/>
  <c r="G60" i="2"/>
  <c r="C60" i="2"/>
  <c r="G52" i="2"/>
  <c r="C52" i="2"/>
  <c r="G44" i="2"/>
  <c r="C44" i="2"/>
  <c r="V40" i="2"/>
  <c r="A835" i="3" s="1"/>
  <c r="G37" i="2"/>
  <c r="V26" i="2"/>
  <c r="A821" i="3" s="1"/>
  <c r="V22" i="2"/>
  <c r="A817" i="3" s="1"/>
  <c r="V20" i="2"/>
  <c r="A815" i="3" s="1"/>
  <c r="E20" i="2"/>
  <c r="G17" i="2"/>
  <c r="C17" i="2"/>
  <c r="E14" i="2"/>
  <c r="G13" i="2"/>
  <c r="E10" i="2"/>
  <c r="V162" i="2"/>
  <c r="E162" i="2"/>
  <c r="V156" i="2"/>
  <c r="A951" i="3" s="1"/>
  <c r="E156" i="2"/>
  <c r="L154" i="2"/>
  <c r="A631" i="3" s="1"/>
  <c r="L148" i="2"/>
  <c r="A625" i="3" s="1"/>
  <c r="V146" i="2"/>
  <c r="A941" i="3" s="1"/>
  <c r="E146" i="2"/>
  <c r="V140" i="2"/>
  <c r="A935" i="3" s="1"/>
  <c r="E140" i="2"/>
  <c r="L138" i="2"/>
  <c r="A615" i="3" s="1"/>
  <c r="E131" i="2"/>
  <c r="Q129" i="2"/>
  <c r="A765" i="3" s="1"/>
  <c r="E128" i="2"/>
  <c r="L126" i="2"/>
  <c r="A603" i="3" s="1"/>
  <c r="L125" i="2"/>
  <c r="A602" i="3" s="1"/>
  <c r="E123" i="2"/>
  <c r="Q115" i="2"/>
  <c r="A751" i="3" s="1"/>
  <c r="E113" i="2"/>
  <c r="Q110" i="2"/>
  <c r="A746" i="3" s="1"/>
  <c r="E107" i="2"/>
  <c r="Q105" i="2"/>
  <c r="A741" i="3" s="1"/>
  <c r="E102" i="2"/>
  <c r="Q99" i="2"/>
  <c r="A735" i="3" s="1"/>
  <c r="E97" i="2"/>
  <c r="Q94" i="2"/>
  <c r="A730" i="3" s="1"/>
  <c r="L82" i="2"/>
  <c r="A559" i="3" s="1"/>
  <c r="E81" i="2"/>
  <c r="Q79" i="2"/>
  <c r="A715" i="3" s="1"/>
  <c r="Q77" i="2"/>
  <c r="A713" i="3" s="1"/>
  <c r="E75" i="2"/>
  <c r="E73" i="2"/>
  <c r="Q71" i="2"/>
  <c r="A707" i="3" s="1"/>
  <c r="Q69" i="2"/>
  <c r="A705" i="3" s="1"/>
  <c r="E67" i="2"/>
  <c r="E65" i="2"/>
  <c r="Q62" i="2"/>
  <c r="A698" i="3" s="1"/>
  <c r="V60" i="2"/>
  <c r="A855" i="3" s="1"/>
  <c r="V58" i="2"/>
  <c r="A853" i="3" s="1"/>
  <c r="E58" i="2"/>
  <c r="E57" i="2"/>
  <c r="Q54" i="2"/>
  <c r="A690" i="3" s="1"/>
  <c r="V52" i="2"/>
  <c r="A847" i="3" s="1"/>
  <c r="V50" i="2"/>
  <c r="A845" i="3" s="1"/>
  <c r="E50" i="2"/>
  <c r="E49" i="2"/>
  <c r="Q46" i="2"/>
  <c r="A682" i="3" s="1"/>
  <c r="V44" i="2"/>
  <c r="A839" i="3" s="1"/>
  <c r="V42" i="2"/>
  <c r="A837" i="3" s="1"/>
  <c r="E42" i="2"/>
  <c r="E41" i="2"/>
  <c r="L40" i="2"/>
  <c r="A517" i="3" s="1"/>
  <c r="E38" i="2"/>
  <c r="G29" i="2"/>
  <c r="E28" i="2"/>
  <c r="L26" i="2"/>
  <c r="A503" i="3" s="1"/>
  <c r="L22" i="2"/>
  <c r="A499" i="3" s="1"/>
  <c r="Q20" i="2"/>
  <c r="A656" i="3" s="1"/>
  <c r="Q156" i="2"/>
  <c r="A792" i="3" s="1"/>
  <c r="G153" i="2"/>
  <c r="A471" i="3" s="1"/>
  <c r="E13" i="2"/>
  <c r="L12" i="2"/>
  <c r="A489" i="3" s="1"/>
  <c r="G11" i="2"/>
  <c r="C11" i="2"/>
  <c r="L10" i="2"/>
  <c r="A487" i="3" s="1"/>
  <c r="G8" i="2"/>
  <c r="C8" i="2"/>
  <c r="Q162" i="2"/>
  <c r="A798" i="3" s="1"/>
  <c r="C153" i="2"/>
  <c r="L162" i="2"/>
  <c r="A639" i="3" s="1"/>
  <c r="Q160" i="2"/>
  <c r="A796" i="3" s="1"/>
  <c r="G157" i="2"/>
  <c r="A475" i="3" s="1"/>
  <c r="C157" i="2"/>
  <c r="L156" i="2"/>
  <c r="A633" i="3" s="1"/>
  <c r="V154" i="2"/>
  <c r="A949" i="3" s="1"/>
  <c r="E154" i="2"/>
  <c r="Q150" i="2"/>
  <c r="A786" i="3" s="1"/>
  <c r="V148" i="2"/>
  <c r="A943" i="3" s="1"/>
  <c r="E148" i="2"/>
  <c r="L146" i="2"/>
  <c r="A623" i="3" s="1"/>
  <c r="Q144" i="2"/>
  <c r="A780" i="3" s="1"/>
  <c r="G141" i="2"/>
  <c r="A459" i="3" s="1"/>
  <c r="C141" i="2"/>
  <c r="L140" i="2"/>
  <c r="A617" i="3" s="1"/>
  <c r="V138" i="2"/>
  <c r="A933" i="3" s="1"/>
  <c r="E138" i="2"/>
  <c r="Q134" i="2"/>
  <c r="A770" i="3" s="1"/>
  <c r="Q131" i="2"/>
  <c r="A767" i="3" s="1"/>
  <c r="E129" i="2"/>
  <c r="L128" i="2"/>
  <c r="A605" i="3" s="1"/>
  <c r="Q123" i="2"/>
  <c r="A759" i="3" s="1"/>
  <c r="Q121" i="2"/>
  <c r="A757" i="3" s="1"/>
  <c r="Q120" i="2"/>
  <c r="A756" i="3" s="1"/>
  <c r="Q117" i="2"/>
  <c r="A753" i="3" s="1"/>
  <c r="E115" i="2"/>
  <c r="Q113" i="2"/>
  <c r="A749" i="3" s="1"/>
  <c r="E110" i="2"/>
  <c r="Q107" i="2"/>
  <c r="A743" i="3" s="1"/>
  <c r="E105" i="2"/>
  <c r="Q102" i="2"/>
  <c r="A738" i="3" s="1"/>
  <c r="E99" i="2"/>
  <c r="Q97" i="2"/>
  <c r="A733" i="3" s="1"/>
  <c r="E94" i="2"/>
  <c r="Q88" i="2"/>
  <c r="A724" i="3" s="1"/>
  <c r="V85" i="2"/>
  <c r="A880" i="3" s="1"/>
  <c r="Q84" i="2"/>
  <c r="A720" i="3" s="1"/>
  <c r="E82" i="2"/>
  <c r="Q81" i="2"/>
  <c r="A717" i="3" s="1"/>
  <c r="E77" i="2"/>
  <c r="Q73" i="2"/>
  <c r="A709" i="3" s="1"/>
  <c r="E71" i="2"/>
  <c r="E69" i="2"/>
  <c r="Q67" i="2"/>
  <c r="A703" i="3" s="1"/>
  <c r="Q65" i="2"/>
  <c r="A701" i="3" s="1"/>
  <c r="L58" i="2"/>
  <c r="A535" i="3" s="1"/>
  <c r="L50" i="2"/>
  <c r="A527" i="3" s="1"/>
  <c r="L42" i="2"/>
  <c r="A519" i="3" s="1"/>
  <c r="L28" i="2"/>
  <c r="A505" i="3" s="1"/>
  <c r="E25" i="2"/>
  <c r="C63" i="2"/>
  <c r="Q63" i="2"/>
  <c r="A699" i="3" s="1"/>
  <c r="C55" i="2"/>
  <c r="Q55" i="2"/>
  <c r="A691" i="3" s="1"/>
  <c r="C47" i="2"/>
  <c r="Q47" i="2"/>
  <c r="A683" i="3" s="1"/>
  <c r="C18" i="2"/>
  <c r="Q18" i="2"/>
  <c r="A654" i="3" s="1"/>
  <c r="V18" i="2"/>
  <c r="A813" i="3" s="1"/>
  <c r="E18" i="2"/>
  <c r="V16" i="2"/>
  <c r="A811" i="3" s="1"/>
  <c r="C16" i="2"/>
  <c r="G16" i="2"/>
  <c r="E16" i="2"/>
  <c r="C15" i="2"/>
  <c r="E15" i="2"/>
  <c r="A174" i="3" s="1"/>
  <c r="V5" i="2"/>
  <c r="A800" i="3" s="1"/>
  <c r="Q5" i="2"/>
  <c r="A641" i="3" s="1"/>
  <c r="E5" i="2"/>
  <c r="G162" i="2"/>
  <c r="A480" i="3" s="1"/>
  <c r="Q159" i="2"/>
  <c r="A795" i="3" s="1"/>
  <c r="G158" i="2"/>
  <c r="A476" i="3" s="1"/>
  <c r="Q155" i="2"/>
  <c r="A791" i="3" s="1"/>
  <c r="G154" i="2"/>
  <c r="A472" i="3" s="1"/>
  <c r="Q151" i="2"/>
  <c r="A787" i="3" s="1"/>
  <c r="G150" i="2"/>
  <c r="A468" i="3" s="1"/>
  <c r="Q147" i="2"/>
  <c r="A783" i="3" s="1"/>
  <c r="G146" i="2"/>
  <c r="A464" i="3" s="1"/>
  <c r="Q143" i="2"/>
  <c r="A779" i="3" s="1"/>
  <c r="G142" i="2"/>
  <c r="A460" i="3" s="1"/>
  <c r="Q139" i="2"/>
  <c r="A775" i="3" s="1"/>
  <c r="G138" i="2"/>
  <c r="A456" i="3" s="1"/>
  <c r="Q135" i="2"/>
  <c r="A771" i="3" s="1"/>
  <c r="G134" i="2"/>
  <c r="A452" i="3" s="1"/>
  <c r="G133" i="2"/>
  <c r="A451" i="3" s="1"/>
  <c r="C133" i="2"/>
  <c r="L132" i="2"/>
  <c r="A609" i="3" s="1"/>
  <c r="L130" i="2"/>
  <c r="A607" i="3" s="1"/>
  <c r="L129" i="2"/>
  <c r="A606" i="3" s="1"/>
  <c r="Q128" i="2"/>
  <c r="A764" i="3" s="1"/>
  <c r="E127" i="2"/>
  <c r="V124" i="2"/>
  <c r="A919" i="3" s="1"/>
  <c r="E124" i="2"/>
  <c r="V122" i="2"/>
  <c r="A917" i="3" s="1"/>
  <c r="Q119" i="2"/>
  <c r="A755" i="3" s="1"/>
  <c r="G118" i="2"/>
  <c r="A436" i="3" s="1"/>
  <c r="G117" i="2"/>
  <c r="A435" i="3" s="1"/>
  <c r="C117" i="2"/>
  <c r="L116" i="2"/>
  <c r="A593" i="3" s="1"/>
  <c r="L114" i="2"/>
  <c r="A591" i="3" s="1"/>
  <c r="G113" i="2"/>
  <c r="A431" i="3" s="1"/>
  <c r="C113" i="2"/>
  <c r="L112" i="2"/>
  <c r="A589" i="3" s="1"/>
  <c r="L110" i="2"/>
  <c r="A587" i="3" s="1"/>
  <c r="G109" i="2"/>
  <c r="A427" i="3" s="1"/>
  <c r="C109" i="2"/>
  <c r="L108" i="2"/>
  <c r="A585" i="3" s="1"/>
  <c r="L106" i="2"/>
  <c r="A583" i="3" s="1"/>
  <c r="G105" i="2"/>
  <c r="C105" i="2"/>
  <c r="L104" i="2"/>
  <c r="A581" i="3" s="1"/>
  <c r="L102" i="2"/>
  <c r="A579" i="3" s="1"/>
  <c r="G101" i="2"/>
  <c r="C101" i="2"/>
  <c r="L100" i="2"/>
  <c r="A577" i="3" s="1"/>
  <c r="L98" i="2"/>
  <c r="A575" i="3" s="1"/>
  <c r="G97" i="2"/>
  <c r="C97" i="2"/>
  <c r="L96" i="2"/>
  <c r="A573" i="3" s="1"/>
  <c r="L94" i="2"/>
  <c r="A571" i="3" s="1"/>
  <c r="G93" i="2"/>
  <c r="C93" i="2"/>
  <c r="L92" i="2"/>
  <c r="A569" i="3" s="1"/>
  <c r="E91" i="2"/>
  <c r="V88" i="2"/>
  <c r="A883" i="3" s="1"/>
  <c r="L86" i="2"/>
  <c r="A563" i="3" s="1"/>
  <c r="G84" i="2"/>
  <c r="E83" i="2"/>
  <c r="Q82" i="2"/>
  <c r="A718" i="3" s="1"/>
  <c r="G81" i="2"/>
  <c r="C81" i="2"/>
  <c r="L80" i="2"/>
  <c r="A557" i="3" s="1"/>
  <c r="V78" i="2"/>
  <c r="A873" i="3" s="1"/>
  <c r="E78" i="2"/>
  <c r="G77" i="2"/>
  <c r="C77" i="2"/>
  <c r="L76" i="2"/>
  <c r="A553" i="3" s="1"/>
  <c r="V74" i="2"/>
  <c r="A869" i="3" s="1"/>
  <c r="E74" i="2"/>
  <c r="G73" i="2"/>
  <c r="C73" i="2"/>
  <c r="L72" i="2"/>
  <c r="A549" i="3" s="1"/>
  <c r="V70" i="2"/>
  <c r="A865" i="3" s="1"/>
  <c r="E70" i="2"/>
  <c r="G69" i="2"/>
  <c r="C69" i="2"/>
  <c r="L68" i="2"/>
  <c r="A545" i="3" s="1"/>
  <c r="V66" i="2"/>
  <c r="A861" i="3" s="1"/>
  <c r="E66" i="2"/>
  <c r="G65" i="2"/>
  <c r="C65" i="2"/>
  <c r="E63" i="2"/>
  <c r="V61" i="2"/>
  <c r="A856" i="3" s="1"/>
  <c r="Q61" i="2"/>
  <c r="A697" i="3" s="1"/>
  <c r="G57" i="2"/>
  <c r="E55" i="2"/>
  <c r="V53" i="2"/>
  <c r="A848" i="3" s="1"/>
  <c r="Q53" i="2"/>
  <c r="A689" i="3" s="1"/>
  <c r="G49" i="2"/>
  <c r="E47" i="2"/>
  <c r="V45" i="2"/>
  <c r="A840" i="3" s="1"/>
  <c r="Q45" i="2"/>
  <c r="A681" i="3" s="1"/>
  <c r="G41" i="2"/>
  <c r="C40" i="2"/>
  <c r="G40" i="2"/>
  <c r="Q40" i="2"/>
  <c r="A676" i="3" s="1"/>
  <c r="C39" i="2"/>
  <c r="E39" i="2"/>
  <c r="V37" i="2"/>
  <c r="A832" i="3" s="1"/>
  <c r="Q37" i="2"/>
  <c r="A673" i="3" s="1"/>
  <c r="G33" i="2"/>
  <c r="C32" i="2"/>
  <c r="G32" i="2"/>
  <c r="Q32" i="2"/>
  <c r="A668" i="3" s="1"/>
  <c r="C31" i="2"/>
  <c r="E31" i="2"/>
  <c r="V29" i="2"/>
  <c r="A824" i="3" s="1"/>
  <c r="Q29" i="2"/>
  <c r="A665" i="3" s="1"/>
  <c r="G25" i="2"/>
  <c r="C24" i="2"/>
  <c r="G24" i="2"/>
  <c r="Q24" i="2"/>
  <c r="A660" i="3" s="1"/>
  <c r="C23" i="2"/>
  <c r="E23" i="2"/>
  <c r="V21" i="2"/>
  <c r="A816" i="3" s="1"/>
  <c r="Q21" i="2"/>
  <c r="A657" i="3" s="1"/>
  <c r="C130" i="2"/>
  <c r="G129" i="2"/>
  <c r="A447" i="3" s="1"/>
  <c r="C129" i="2"/>
  <c r="Q124" i="2"/>
  <c r="A760" i="3" s="1"/>
  <c r="G114" i="2"/>
  <c r="A432" i="3" s="1"/>
  <c r="C114" i="2"/>
  <c r="G110" i="2"/>
  <c r="A428" i="3" s="1"/>
  <c r="C110" i="2"/>
  <c r="A110" i="3" s="1"/>
  <c r="G106" i="2"/>
  <c r="C106" i="2"/>
  <c r="A106" i="3" s="1"/>
  <c r="G102" i="2"/>
  <c r="C102" i="2"/>
  <c r="A102" i="3" s="1"/>
  <c r="G98" i="2"/>
  <c r="C98" i="2"/>
  <c r="A98" i="3" s="1"/>
  <c r="G94" i="2"/>
  <c r="C94" i="2"/>
  <c r="A94" i="3" s="1"/>
  <c r="Q91" i="2"/>
  <c r="A727" i="3" s="1"/>
  <c r="G80" i="2"/>
  <c r="C80" i="2"/>
  <c r="Q78" i="2"/>
  <c r="A714" i="3" s="1"/>
  <c r="G76" i="2"/>
  <c r="C76" i="2"/>
  <c r="Q74" i="2"/>
  <c r="A710" i="3" s="1"/>
  <c r="G72" i="2"/>
  <c r="C72" i="2"/>
  <c r="Q70" i="2"/>
  <c r="A706" i="3" s="1"/>
  <c r="G68" i="2"/>
  <c r="C68" i="2"/>
  <c r="Q66" i="2"/>
  <c r="A702" i="3" s="1"/>
  <c r="C59" i="2"/>
  <c r="Q59" i="2"/>
  <c r="A695" i="3" s="1"/>
  <c r="C51" i="2"/>
  <c r="Q51" i="2"/>
  <c r="A687" i="3" s="1"/>
  <c r="C43" i="2"/>
  <c r="Q43" i="2"/>
  <c r="A679" i="3" s="1"/>
  <c r="G130" i="2"/>
  <c r="A448" i="3" s="1"/>
  <c r="Q161" i="2"/>
  <c r="A797" i="3" s="1"/>
  <c r="E159" i="2"/>
  <c r="A318" i="3" s="1"/>
  <c r="Q157" i="2"/>
  <c r="A793" i="3" s="1"/>
  <c r="E155" i="2"/>
  <c r="Q153" i="2"/>
  <c r="A789" i="3" s="1"/>
  <c r="E151" i="2"/>
  <c r="Q149" i="2"/>
  <c r="A785" i="3" s="1"/>
  <c r="E147" i="2"/>
  <c r="Q145" i="2"/>
  <c r="A781" i="3" s="1"/>
  <c r="E143" i="2"/>
  <c r="Q141" i="2"/>
  <c r="A777" i="3" s="1"/>
  <c r="E139" i="2"/>
  <c r="Q137" i="2"/>
  <c r="A773" i="3" s="1"/>
  <c r="E135" i="2"/>
  <c r="V132" i="2"/>
  <c r="A927" i="3" s="1"/>
  <c r="E132" i="2"/>
  <c r="Q127" i="2"/>
  <c r="A763" i="3" s="1"/>
  <c r="L124" i="2"/>
  <c r="A601" i="3" s="1"/>
  <c r="L121" i="2"/>
  <c r="A598" i="3" s="1"/>
  <c r="E119" i="2"/>
  <c r="V116" i="2"/>
  <c r="A911" i="3" s="1"/>
  <c r="E116" i="2"/>
  <c r="V112" i="2"/>
  <c r="A907" i="3" s="1"/>
  <c r="E112" i="2"/>
  <c r="V108" i="2"/>
  <c r="A903" i="3" s="1"/>
  <c r="E108" i="2"/>
  <c r="V104" i="2"/>
  <c r="A899" i="3" s="1"/>
  <c r="E104" i="2"/>
  <c r="V100" i="2"/>
  <c r="A895" i="3" s="1"/>
  <c r="E100" i="2"/>
  <c r="V96" i="2"/>
  <c r="A891" i="3" s="1"/>
  <c r="E96" i="2"/>
  <c r="V92" i="2"/>
  <c r="A887" i="3" s="1"/>
  <c r="E92" i="2"/>
  <c r="G91" i="2"/>
  <c r="V86" i="2"/>
  <c r="A881" i="3" s="1"/>
  <c r="Q85" i="2"/>
  <c r="A721" i="3" s="1"/>
  <c r="Q83" i="2"/>
  <c r="A719" i="3" s="1"/>
  <c r="L78" i="2"/>
  <c r="A555" i="3" s="1"/>
  <c r="L74" i="2"/>
  <c r="A551" i="3" s="1"/>
  <c r="L70" i="2"/>
  <c r="A547" i="3" s="1"/>
  <c r="L66" i="2"/>
  <c r="A543" i="3" s="1"/>
  <c r="E59" i="2"/>
  <c r="V57" i="2"/>
  <c r="A852" i="3" s="1"/>
  <c r="Q57" i="2"/>
  <c r="A693" i="3" s="1"/>
  <c r="E51" i="2"/>
  <c r="V49" i="2"/>
  <c r="A844" i="3" s="1"/>
  <c r="Q49" i="2"/>
  <c r="A685" i="3" s="1"/>
  <c r="E43" i="2"/>
  <c r="V41" i="2"/>
  <c r="A836" i="3" s="1"/>
  <c r="Q41" i="2"/>
  <c r="A677" i="3" s="1"/>
  <c r="C36" i="2"/>
  <c r="G36" i="2"/>
  <c r="Q36" i="2"/>
  <c r="A672" i="3" s="1"/>
  <c r="C35" i="2"/>
  <c r="E35" i="2"/>
  <c r="V33" i="2"/>
  <c r="A828" i="3" s="1"/>
  <c r="Q33" i="2"/>
  <c r="A669" i="3" s="1"/>
  <c r="C28" i="2"/>
  <c r="G28" i="2"/>
  <c r="Q28" i="2"/>
  <c r="A664" i="3" s="1"/>
  <c r="C27" i="2"/>
  <c r="E27" i="2"/>
  <c r="V25" i="2"/>
  <c r="A820" i="3" s="1"/>
  <c r="Q25" i="2"/>
  <c r="A661" i="3" s="1"/>
  <c r="Q16" i="2"/>
  <c r="A652" i="3" s="1"/>
  <c r="C38" i="2"/>
  <c r="Q38" i="2"/>
  <c r="A674" i="3" s="1"/>
  <c r="C34" i="2"/>
  <c r="Q34" i="2"/>
  <c r="A670" i="3" s="1"/>
  <c r="C30" i="2"/>
  <c r="Q30" i="2"/>
  <c r="A666" i="3" s="1"/>
  <c r="C26" i="2"/>
  <c r="Q26" i="2"/>
  <c r="A662" i="3" s="1"/>
  <c r="C22" i="2"/>
  <c r="Q22" i="2"/>
  <c r="A658" i="3" s="1"/>
  <c r="C20" i="2"/>
  <c r="G20" i="2"/>
  <c r="C19" i="2"/>
  <c r="E19" i="2"/>
  <c r="C14" i="2"/>
  <c r="L14" i="2"/>
  <c r="A491" i="3" s="1"/>
  <c r="Q14" i="2"/>
  <c r="A650" i="3" s="1"/>
  <c r="V9" i="2"/>
  <c r="A804" i="3" s="1"/>
  <c r="Q9" i="2"/>
  <c r="A645" i="3" s="1"/>
  <c r="L7" i="2"/>
  <c r="A484" i="3" s="1"/>
  <c r="C7" i="2"/>
  <c r="G7" i="2"/>
  <c r="L6" i="2"/>
  <c r="A483" i="3" s="1"/>
  <c r="A419" i="3"/>
  <c r="A411" i="3"/>
  <c r="A406" i="3"/>
  <c r="A403" i="3"/>
  <c r="A398" i="3"/>
  <c r="A395" i="3"/>
  <c r="A390" i="3"/>
  <c r="A387" i="3"/>
  <c r="A382" i="3"/>
  <c r="A379" i="3"/>
  <c r="A351" i="3"/>
  <c r="A342" i="3"/>
  <c r="A335" i="3"/>
  <c r="A326" i="3"/>
  <c r="A319" i="3"/>
  <c r="B300" i="3"/>
  <c r="B420" i="3"/>
  <c r="B412" i="3"/>
  <c r="A409" i="3"/>
  <c r="B404" i="3"/>
  <c r="B396" i="3"/>
  <c r="B391" i="3"/>
  <c r="B388" i="3"/>
  <c r="B383" i="3"/>
  <c r="B380" i="3"/>
  <c r="A375" i="3"/>
  <c r="A370" i="3"/>
  <c r="A367" i="3"/>
  <c r="A362" i="3"/>
  <c r="A359" i="3"/>
  <c r="A354" i="3"/>
  <c r="A347" i="3"/>
  <c r="A338" i="3"/>
  <c r="A331" i="3"/>
  <c r="A423" i="3"/>
  <c r="A415" i="3"/>
  <c r="A407" i="3"/>
  <c r="A402" i="3"/>
  <c r="A399" i="3"/>
  <c r="A394" i="3"/>
  <c r="A391" i="3"/>
  <c r="A386" i="3"/>
  <c r="A383" i="3"/>
  <c r="A378" i="3"/>
  <c r="A350" i="3"/>
  <c r="A343" i="3"/>
  <c r="A334" i="3"/>
  <c r="A327" i="3"/>
  <c r="A320" i="3"/>
  <c r="B424" i="3"/>
  <c r="B416" i="3"/>
  <c r="B408" i="3"/>
  <c r="B400" i="3"/>
  <c r="B395" i="3"/>
  <c r="B392" i="3"/>
  <c r="B387" i="3"/>
  <c r="B384" i="3"/>
  <c r="B379" i="3"/>
  <c r="A374" i="3"/>
  <c r="A371" i="3"/>
  <c r="A366" i="3"/>
  <c r="A363" i="3"/>
  <c r="A358" i="3"/>
  <c r="A355" i="3"/>
  <c r="A346" i="3"/>
  <c r="A339" i="3"/>
  <c r="A330" i="3"/>
  <c r="A323" i="3"/>
  <c r="A316" i="3"/>
  <c r="A314" i="3"/>
  <c r="A297" i="3"/>
  <c r="B284" i="3"/>
  <c r="A281" i="3"/>
  <c r="B268" i="3"/>
  <c r="A265" i="3"/>
  <c r="B252" i="3"/>
  <c r="A249" i="3"/>
  <c r="A247" i="3"/>
  <c r="B236" i="3"/>
  <c r="A233" i="3"/>
  <c r="A231" i="3"/>
  <c r="B227" i="3"/>
  <c r="B224" i="3"/>
  <c r="A221" i="3"/>
  <c r="B219" i="3"/>
  <c r="B216" i="3"/>
  <c r="A213" i="3"/>
  <c r="B211" i="3"/>
  <c r="B208" i="3"/>
  <c r="A205" i="3"/>
  <c r="B203" i="3"/>
  <c r="B200" i="3"/>
  <c r="A197" i="3"/>
  <c r="B195" i="3"/>
  <c r="B192" i="3"/>
  <c r="A189" i="3"/>
  <c r="B187" i="3"/>
  <c r="B184" i="3"/>
  <c r="A181" i="3"/>
  <c r="B179" i="3"/>
  <c r="B176" i="3"/>
  <c r="B169" i="3"/>
  <c r="A156" i="3"/>
  <c r="B153" i="3"/>
  <c r="B151" i="3"/>
  <c r="A140" i="3"/>
  <c r="A138" i="3"/>
  <c r="A136" i="3"/>
  <c r="A134" i="3"/>
  <c r="A132" i="3"/>
  <c r="A130" i="3"/>
  <c r="A128" i="3"/>
  <c r="A126" i="3"/>
  <c r="A124" i="3"/>
  <c r="A122" i="3"/>
  <c r="A120" i="3"/>
  <c r="A118" i="3"/>
  <c r="A116" i="3"/>
  <c r="A114" i="3"/>
  <c r="B111" i="3"/>
  <c r="B106" i="3"/>
  <c r="B103" i="3"/>
  <c r="B98" i="3"/>
  <c r="B95" i="3"/>
  <c r="B90" i="3"/>
  <c r="A325" i="3"/>
  <c r="A317" i="3"/>
  <c r="B296" i="3"/>
  <c r="A293" i="3"/>
  <c r="B280" i="3"/>
  <c r="A277" i="3"/>
  <c r="B264" i="3"/>
  <c r="A261" i="3"/>
  <c r="B248" i="3"/>
  <c r="A245" i="3"/>
  <c r="A243" i="3"/>
  <c r="B232" i="3"/>
  <c r="A229" i="3"/>
  <c r="A227" i="3"/>
  <c r="A219" i="3"/>
  <c r="A211" i="3"/>
  <c r="A203" i="3"/>
  <c r="A195" i="3"/>
  <c r="A187" i="3"/>
  <c r="A179" i="3"/>
  <c r="A172" i="3"/>
  <c r="A170" i="3"/>
  <c r="A168" i="3"/>
  <c r="B165" i="3"/>
  <c r="A152" i="3"/>
  <c r="B149" i="3"/>
  <c r="B147" i="3"/>
  <c r="B112" i="3"/>
  <c r="B109" i="3"/>
  <c r="B104" i="3"/>
  <c r="B101" i="3"/>
  <c r="B96" i="3"/>
  <c r="B93" i="3"/>
  <c r="A32" i="3"/>
  <c r="A30" i="3"/>
  <c r="A28" i="3"/>
  <c r="A26" i="3"/>
  <c r="A24" i="3"/>
  <c r="A22" i="3"/>
  <c r="A20" i="3"/>
  <c r="A18" i="3"/>
  <c r="A16" i="3"/>
  <c r="A14" i="3"/>
  <c r="A12" i="3"/>
  <c r="A10" i="3"/>
  <c r="A8" i="3"/>
  <c r="A6" i="3"/>
  <c r="A315" i="3"/>
  <c r="A312" i="3"/>
  <c r="B308" i="3"/>
  <c r="A305" i="3"/>
  <c r="B292" i="3"/>
  <c r="A289" i="3"/>
  <c r="B276" i="3"/>
  <c r="A273" i="3"/>
  <c r="B260" i="3"/>
  <c r="A257" i="3"/>
  <c r="B244" i="3"/>
  <c r="A241" i="3"/>
  <c r="A239" i="3"/>
  <c r="B228" i="3"/>
  <c r="A225" i="3"/>
  <c r="B223" i="3"/>
  <c r="B220" i="3"/>
  <c r="A217" i="3"/>
  <c r="B215" i="3"/>
  <c r="B212" i="3"/>
  <c r="A209" i="3"/>
  <c r="B207" i="3"/>
  <c r="B204" i="3"/>
  <c r="A201" i="3"/>
  <c r="B199" i="3"/>
  <c r="B196" i="3"/>
  <c r="A193" i="3"/>
  <c r="B191" i="3"/>
  <c r="B188" i="3"/>
  <c r="A185" i="3"/>
  <c r="B183" i="3"/>
  <c r="B180" i="3"/>
  <c r="A177" i="3"/>
  <c r="B175" i="3"/>
  <c r="A164" i="3"/>
  <c r="B161" i="3"/>
  <c r="B159" i="3"/>
  <c r="A148" i="3"/>
  <c r="B145" i="3"/>
  <c r="B143" i="3"/>
  <c r="B110" i="3"/>
  <c r="B107" i="3"/>
  <c r="B102" i="3"/>
  <c r="B99" i="3"/>
  <c r="B94" i="3"/>
  <c r="B91" i="3"/>
  <c r="A329" i="3"/>
  <c r="A321" i="3"/>
  <c r="A313" i="3"/>
  <c r="B304" i="3"/>
  <c r="A301" i="3"/>
  <c r="B288" i="3"/>
  <c r="A285" i="3"/>
  <c r="B272" i="3"/>
  <c r="A269" i="3"/>
  <c r="B256" i="3"/>
  <c r="A253" i="3"/>
  <c r="B240" i="3"/>
  <c r="A237" i="3"/>
  <c r="A235" i="3"/>
  <c r="A223" i="3"/>
  <c r="A215" i="3"/>
  <c r="A207" i="3"/>
  <c r="A199" i="3"/>
  <c r="A191" i="3"/>
  <c r="A183" i="3"/>
  <c r="A175" i="3"/>
  <c r="A160" i="3"/>
  <c r="B157" i="3"/>
  <c r="B155" i="3"/>
  <c r="A144" i="3"/>
  <c r="B141" i="3"/>
  <c r="B139" i="3"/>
  <c r="B137" i="3"/>
  <c r="B135" i="3"/>
  <c r="B133" i="3"/>
  <c r="B131" i="3"/>
  <c r="B129" i="3"/>
  <c r="B127" i="3"/>
  <c r="B125" i="3"/>
  <c r="B123" i="3"/>
  <c r="B121" i="3"/>
  <c r="B119" i="3"/>
  <c r="B117" i="3"/>
  <c r="B115" i="3"/>
  <c r="B113" i="3"/>
  <c r="B108" i="3"/>
  <c r="B105" i="3"/>
  <c r="B100" i="3"/>
  <c r="B97" i="3"/>
  <c r="B92" i="3"/>
  <c r="A33" i="3"/>
  <c r="A31" i="3"/>
  <c r="A29" i="3"/>
  <c r="A27" i="3"/>
  <c r="A25" i="3"/>
  <c r="A23" i="3"/>
  <c r="A21" i="3"/>
  <c r="A19" i="3"/>
  <c r="A17" i="3"/>
  <c r="A15" i="3"/>
  <c r="A11" i="3"/>
  <c r="A7" i="3"/>
  <c r="A311" i="3"/>
  <c r="B311" i="3"/>
  <c r="A309" i="3"/>
  <c r="B309" i="3"/>
  <c r="A295" i="3"/>
  <c r="B295" i="3"/>
  <c r="A279" i="3"/>
  <c r="B279" i="3"/>
  <c r="A263" i="3"/>
  <c r="B263" i="3"/>
  <c r="A307" i="3"/>
  <c r="B307" i="3"/>
  <c r="A291" i="3"/>
  <c r="B291" i="3"/>
  <c r="A275" i="3"/>
  <c r="B275" i="3"/>
  <c r="A259" i="3"/>
  <c r="B259" i="3"/>
  <c r="A424" i="3"/>
  <c r="B423" i="3"/>
  <c r="A420" i="3"/>
  <c r="B419" i="3"/>
  <c r="A416" i="3"/>
  <c r="B415" i="3"/>
  <c r="A412" i="3"/>
  <c r="B411" i="3"/>
  <c r="A408" i="3"/>
  <c r="B407" i="3"/>
  <c r="B403" i="3"/>
  <c r="B399" i="3"/>
  <c r="B375" i="3"/>
  <c r="B371" i="3"/>
  <c r="B367" i="3"/>
  <c r="B363" i="3"/>
  <c r="B359" i="3"/>
  <c r="B355" i="3"/>
  <c r="B351" i="3"/>
  <c r="B347" i="3"/>
  <c r="B343" i="3"/>
  <c r="B339" i="3"/>
  <c r="B335" i="3"/>
  <c r="B331" i="3"/>
  <c r="B327" i="3"/>
  <c r="B323" i="3"/>
  <c r="B319" i="3"/>
  <c r="B315" i="3"/>
  <c r="A310" i="3"/>
  <c r="B310" i="3"/>
  <c r="A303" i="3"/>
  <c r="B303" i="3"/>
  <c r="A287" i="3"/>
  <c r="B287" i="3"/>
  <c r="A271" i="3"/>
  <c r="B271" i="3"/>
  <c r="A255" i="3"/>
  <c r="B255" i="3"/>
  <c r="B376" i="3"/>
  <c r="B372" i="3"/>
  <c r="B368" i="3"/>
  <c r="B364" i="3"/>
  <c r="B360" i="3"/>
  <c r="B356" i="3"/>
  <c r="B352" i="3"/>
  <c r="B348" i="3"/>
  <c r="B344" i="3"/>
  <c r="B340" i="3"/>
  <c r="B336" i="3"/>
  <c r="B332" i="3"/>
  <c r="B328" i="3"/>
  <c r="B324" i="3"/>
  <c r="B320" i="3"/>
  <c r="B316" i="3"/>
  <c r="B312" i="3"/>
  <c r="A299" i="3"/>
  <c r="B299" i="3"/>
  <c r="A283" i="3"/>
  <c r="B283" i="3"/>
  <c r="A267" i="3"/>
  <c r="B267" i="3"/>
  <c r="A251" i="3"/>
  <c r="B251" i="3"/>
  <c r="B167" i="3"/>
  <c r="A167" i="3"/>
  <c r="A308" i="3"/>
  <c r="A304" i="3"/>
  <c r="A300" i="3"/>
  <c r="A296" i="3"/>
  <c r="A292" i="3"/>
  <c r="A288" i="3"/>
  <c r="A284" i="3"/>
  <c r="A280" i="3"/>
  <c r="A276" i="3"/>
  <c r="A272" i="3"/>
  <c r="A268" i="3"/>
  <c r="A264" i="3"/>
  <c r="A260" i="3"/>
  <c r="A256" i="3"/>
  <c r="A252" i="3"/>
  <c r="A248" i="3"/>
  <c r="B247" i="3"/>
  <c r="A244" i="3"/>
  <c r="B243" i="3"/>
  <c r="A240" i="3"/>
  <c r="B239" i="3"/>
  <c r="A236" i="3"/>
  <c r="B235" i="3"/>
  <c r="A232" i="3"/>
  <c r="B231" i="3"/>
  <c r="A228" i="3"/>
  <c r="A224" i="3"/>
  <c r="A220" i="3"/>
  <c r="A216" i="3"/>
  <c r="A212" i="3"/>
  <c r="A208" i="3"/>
  <c r="A204" i="3"/>
  <c r="A200" i="3"/>
  <c r="A196" i="3"/>
  <c r="A192" i="3"/>
  <c r="A188" i="3"/>
  <c r="A184" i="3"/>
  <c r="A180" i="3"/>
  <c r="A176" i="3"/>
  <c r="B173" i="3"/>
  <c r="A173" i="3"/>
  <c r="A306" i="3"/>
  <c r="B305" i="3"/>
  <c r="A302" i="3"/>
  <c r="B301" i="3"/>
  <c r="A298" i="3"/>
  <c r="B297" i="3"/>
  <c r="A294" i="3"/>
  <c r="B293" i="3"/>
  <c r="A290" i="3"/>
  <c r="B289" i="3"/>
  <c r="A286" i="3"/>
  <c r="B285" i="3"/>
  <c r="A282" i="3"/>
  <c r="B281" i="3"/>
  <c r="A278" i="3"/>
  <c r="B277" i="3"/>
  <c r="A274" i="3"/>
  <c r="B273" i="3"/>
  <c r="A270" i="3"/>
  <c r="B269" i="3"/>
  <c r="A266" i="3"/>
  <c r="B265" i="3"/>
  <c r="A262" i="3"/>
  <c r="B261" i="3"/>
  <c r="A258" i="3"/>
  <c r="B257" i="3"/>
  <c r="A254" i="3"/>
  <c r="B253" i="3"/>
  <c r="A250" i="3"/>
  <c r="B249" i="3"/>
  <c r="A246" i="3"/>
  <c r="B245" i="3"/>
  <c r="A242" i="3"/>
  <c r="B241" i="3"/>
  <c r="A238" i="3"/>
  <c r="B237" i="3"/>
  <c r="A234" i="3"/>
  <c r="B233" i="3"/>
  <c r="A230" i="3"/>
  <c r="B229" i="3"/>
  <c r="A226" i="3"/>
  <c r="A222" i="3"/>
  <c r="A218" i="3"/>
  <c r="A214" i="3"/>
  <c r="A210" i="3"/>
  <c r="A206" i="3"/>
  <c r="A202" i="3"/>
  <c r="A198" i="3"/>
  <c r="A194" i="3"/>
  <c r="A190" i="3"/>
  <c r="A186" i="3"/>
  <c r="A182" i="3"/>
  <c r="A178" i="3"/>
  <c r="B171" i="3"/>
  <c r="A171" i="3"/>
  <c r="B174" i="3"/>
  <c r="B170" i="3"/>
  <c r="A169" i="3"/>
  <c r="B166" i="3"/>
  <c r="A165" i="3"/>
  <c r="B162" i="3"/>
  <c r="A161" i="3"/>
  <c r="B158" i="3"/>
  <c r="A157" i="3"/>
  <c r="B154" i="3"/>
  <c r="A153" i="3"/>
  <c r="B150" i="3"/>
  <c r="A149" i="3"/>
  <c r="B146" i="3"/>
  <c r="A145" i="3"/>
  <c r="B142" i="3"/>
  <c r="A141" i="3"/>
  <c r="B138" i="3"/>
  <c r="A137" i="3"/>
  <c r="B134" i="3"/>
  <c r="A133" i="3"/>
  <c r="B130" i="3"/>
  <c r="A129" i="3"/>
  <c r="B126" i="3"/>
  <c r="A125" i="3"/>
  <c r="B122" i="3"/>
  <c r="A121" i="3"/>
  <c r="B118" i="3"/>
  <c r="A117" i="3"/>
  <c r="B114" i="3"/>
  <c r="A113" i="3"/>
  <c r="A109" i="3"/>
  <c r="A105" i="3"/>
  <c r="A101" i="3"/>
  <c r="A97" i="3"/>
  <c r="A93" i="3"/>
  <c r="A88" i="3"/>
  <c r="B88" i="3"/>
  <c r="B86" i="3"/>
  <c r="A84" i="3"/>
  <c r="B84" i="3"/>
  <c r="A82" i="3"/>
  <c r="B82" i="3"/>
  <c r="A80" i="3"/>
  <c r="B80" i="3"/>
  <c r="A78" i="3"/>
  <c r="B78" i="3"/>
  <c r="B172" i="3"/>
  <c r="B168" i="3"/>
  <c r="B164" i="3"/>
  <c r="B160" i="3"/>
  <c r="A159" i="3"/>
  <c r="B156" i="3"/>
  <c r="A155" i="3"/>
  <c r="B152" i="3"/>
  <c r="A151" i="3"/>
  <c r="B148" i="3"/>
  <c r="A147" i="3"/>
  <c r="B144" i="3"/>
  <c r="A143" i="3"/>
  <c r="B140" i="3"/>
  <c r="A139" i="3"/>
  <c r="B136" i="3"/>
  <c r="A135" i="3"/>
  <c r="B132" i="3"/>
  <c r="A131" i="3"/>
  <c r="B128" i="3"/>
  <c r="A127" i="3"/>
  <c r="B124" i="3"/>
  <c r="A123" i="3"/>
  <c r="B120" i="3"/>
  <c r="A119" i="3"/>
  <c r="B116" i="3"/>
  <c r="A115" i="3"/>
  <c r="A111" i="3"/>
  <c r="A107" i="3"/>
  <c r="A103" i="3"/>
  <c r="A99" i="3"/>
  <c r="A95" i="3"/>
  <c r="A91" i="3"/>
  <c r="A89" i="3"/>
  <c r="B89" i="3"/>
  <c r="B87" i="3"/>
  <c r="A85" i="3"/>
  <c r="B85" i="3"/>
  <c r="B83" i="3"/>
  <c r="A81" i="3"/>
  <c r="B81" i="3"/>
  <c r="B79" i="3"/>
  <c r="A77" i="3"/>
  <c r="B77" i="3"/>
  <c r="B75" i="3"/>
  <c r="A73" i="3"/>
  <c r="B73" i="3"/>
  <c r="A71" i="3"/>
  <c r="B71" i="3"/>
  <c r="A69" i="3"/>
  <c r="B69" i="3"/>
  <c r="A76" i="3"/>
  <c r="B76" i="3"/>
  <c r="A74" i="3"/>
  <c r="B74" i="3"/>
  <c r="A72" i="3"/>
  <c r="B72" i="3"/>
  <c r="A70" i="3"/>
  <c r="B70" i="3"/>
  <c r="A68" i="3"/>
  <c r="B68" i="3"/>
  <c r="A66" i="3"/>
  <c r="B66" i="3"/>
  <c r="A64" i="3"/>
  <c r="B64" i="3"/>
  <c r="A62" i="3"/>
  <c r="B62" i="3"/>
  <c r="A60" i="3"/>
  <c r="B60" i="3"/>
  <c r="A58" i="3"/>
  <c r="B58" i="3"/>
  <c r="A56" i="3"/>
  <c r="B56" i="3"/>
  <c r="A54" i="3"/>
  <c r="B54" i="3"/>
  <c r="A52" i="3"/>
  <c r="B52" i="3"/>
  <c r="A50" i="3"/>
  <c r="B50" i="3"/>
  <c r="A48" i="3"/>
  <c r="B48" i="3"/>
  <c r="A46" i="3"/>
  <c r="B46" i="3"/>
  <c r="A44" i="3"/>
  <c r="B44" i="3"/>
  <c r="A42" i="3"/>
  <c r="B42" i="3"/>
  <c r="A40" i="3"/>
  <c r="B40" i="3"/>
  <c r="A38" i="3"/>
  <c r="B38" i="3"/>
  <c r="A36" i="3"/>
  <c r="B36" i="3"/>
  <c r="A34" i="3"/>
  <c r="B34" i="3"/>
  <c r="A67" i="3"/>
  <c r="B67" i="3"/>
  <c r="A65" i="3"/>
  <c r="B65" i="3"/>
  <c r="A63" i="3"/>
  <c r="B63" i="3"/>
  <c r="A61" i="3"/>
  <c r="B61" i="3"/>
  <c r="A59" i="3"/>
  <c r="B59" i="3"/>
  <c r="A57" i="3"/>
  <c r="B57" i="3"/>
  <c r="A55" i="3"/>
  <c r="B55" i="3"/>
  <c r="A53" i="3"/>
  <c r="B53" i="3"/>
  <c r="A51" i="3"/>
  <c r="B51" i="3"/>
  <c r="A49" i="3"/>
  <c r="B49" i="3"/>
  <c r="A47" i="3"/>
  <c r="B47" i="3"/>
  <c r="A45" i="3"/>
  <c r="B45" i="3"/>
  <c r="A43" i="3"/>
  <c r="B43" i="3"/>
  <c r="A41" i="3"/>
  <c r="B41" i="3"/>
  <c r="A39" i="3"/>
  <c r="B39" i="3"/>
  <c r="A37" i="3"/>
  <c r="B37" i="3"/>
  <c r="A35" i="3"/>
  <c r="B35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L161" i="2"/>
  <c r="A638" i="3" s="1"/>
  <c r="V159" i="2"/>
  <c r="A954" i="3" s="1"/>
  <c r="L157" i="2"/>
  <c r="A634" i="3" s="1"/>
  <c r="V155" i="2"/>
  <c r="A950" i="3" s="1"/>
  <c r="L153" i="2"/>
  <c r="A630" i="3" s="1"/>
  <c r="V151" i="2"/>
  <c r="A946" i="3" s="1"/>
  <c r="L149" i="2"/>
  <c r="A626" i="3" s="1"/>
  <c r="V147" i="2"/>
  <c r="A942" i="3" s="1"/>
  <c r="L145" i="2"/>
  <c r="A622" i="3" s="1"/>
  <c r="V143" i="2"/>
  <c r="A938" i="3" s="1"/>
  <c r="L141" i="2"/>
  <c r="A618" i="3" s="1"/>
  <c r="V139" i="2"/>
  <c r="A934" i="3" s="1"/>
  <c r="L137" i="2"/>
  <c r="A614" i="3" s="1"/>
  <c r="V135" i="2"/>
  <c r="A930" i="3" s="1"/>
  <c r="V131" i="2"/>
  <c r="A926" i="3" s="1"/>
  <c r="V127" i="2"/>
  <c r="A922" i="3" s="1"/>
  <c r="V123" i="2"/>
  <c r="A918" i="3" s="1"/>
  <c r="V119" i="2"/>
  <c r="A914" i="3" s="1"/>
  <c r="V115" i="2"/>
  <c r="A910" i="3" s="1"/>
  <c r="L113" i="2"/>
  <c r="A590" i="3" s="1"/>
  <c r="V111" i="2"/>
  <c r="A906" i="3" s="1"/>
  <c r="L109" i="2"/>
  <c r="A586" i="3" s="1"/>
  <c r="V107" i="2"/>
  <c r="A902" i="3" s="1"/>
  <c r="L105" i="2"/>
  <c r="A582" i="3" s="1"/>
  <c r="V103" i="2"/>
  <c r="A898" i="3" s="1"/>
  <c r="L101" i="2"/>
  <c r="A578" i="3" s="1"/>
  <c r="V99" i="2"/>
  <c r="A894" i="3" s="1"/>
  <c r="L97" i="2"/>
  <c r="A574" i="3" s="1"/>
  <c r="V95" i="2"/>
  <c r="A890" i="3" s="1"/>
  <c r="L93" i="2"/>
  <c r="A570" i="3" s="1"/>
  <c r="V91" i="2"/>
  <c r="A886" i="3" s="1"/>
  <c r="L87" i="2"/>
  <c r="A564" i="3" s="1"/>
  <c r="L83" i="2"/>
  <c r="A560" i="3" s="1"/>
  <c r="C79" i="2"/>
  <c r="A79" i="3" s="1"/>
  <c r="G79" i="2"/>
  <c r="A397" i="3" s="1"/>
  <c r="L79" i="2"/>
  <c r="A556" i="3" s="1"/>
  <c r="V79" i="2"/>
  <c r="A874" i="3" s="1"/>
  <c r="C75" i="2"/>
  <c r="A75" i="3" s="1"/>
  <c r="G75" i="2"/>
  <c r="A393" i="3" s="1"/>
  <c r="L75" i="2"/>
  <c r="A552" i="3" s="1"/>
  <c r="V75" i="2"/>
  <c r="A870" i="3" s="1"/>
  <c r="G87" i="2"/>
  <c r="A405" i="3" s="1"/>
  <c r="C87" i="2"/>
  <c r="A87" i="3" s="1"/>
  <c r="G83" i="2"/>
  <c r="A401" i="3" s="1"/>
  <c r="C83" i="2"/>
  <c r="A83" i="3" s="1"/>
  <c r="G160" i="2"/>
  <c r="A478" i="3" s="1"/>
  <c r="L159" i="2"/>
  <c r="A636" i="3" s="1"/>
  <c r="G156" i="2"/>
  <c r="A474" i="3" s="1"/>
  <c r="L155" i="2"/>
  <c r="A632" i="3" s="1"/>
  <c r="G152" i="2"/>
  <c r="A470" i="3" s="1"/>
  <c r="L151" i="2"/>
  <c r="A628" i="3" s="1"/>
  <c r="G148" i="2"/>
  <c r="A466" i="3" s="1"/>
  <c r="L147" i="2"/>
  <c r="A624" i="3" s="1"/>
  <c r="G144" i="2"/>
  <c r="A462" i="3" s="1"/>
  <c r="L143" i="2"/>
  <c r="A620" i="3" s="1"/>
  <c r="G140" i="2"/>
  <c r="A458" i="3" s="1"/>
  <c r="L139" i="2"/>
  <c r="A616" i="3" s="1"/>
  <c r="G136" i="2"/>
  <c r="A454" i="3" s="1"/>
  <c r="L135" i="2"/>
  <c r="A612" i="3" s="1"/>
  <c r="G132" i="2"/>
  <c r="A450" i="3" s="1"/>
  <c r="L131" i="2"/>
  <c r="A608" i="3" s="1"/>
  <c r="G128" i="2"/>
  <c r="A446" i="3" s="1"/>
  <c r="L127" i="2"/>
  <c r="A604" i="3" s="1"/>
  <c r="G124" i="2"/>
  <c r="A442" i="3" s="1"/>
  <c r="L123" i="2"/>
  <c r="A600" i="3" s="1"/>
  <c r="G120" i="2"/>
  <c r="A438" i="3" s="1"/>
  <c r="L119" i="2"/>
  <c r="A596" i="3" s="1"/>
  <c r="G116" i="2"/>
  <c r="A434" i="3" s="1"/>
  <c r="L115" i="2"/>
  <c r="A592" i="3" s="1"/>
  <c r="G112" i="2"/>
  <c r="A430" i="3" s="1"/>
  <c r="L111" i="2"/>
  <c r="A588" i="3" s="1"/>
  <c r="G108" i="2"/>
  <c r="A426" i="3" s="1"/>
  <c r="L107" i="2"/>
  <c r="A584" i="3" s="1"/>
  <c r="G104" i="2"/>
  <c r="A422" i="3" s="1"/>
  <c r="L103" i="2"/>
  <c r="A580" i="3" s="1"/>
  <c r="G100" i="2"/>
  <c r="A418" i="3" s="1"/>
  <c r="L99" i="2"/>
  <c r="A576" i="3" s="1"/>
  <c r="G96" i="2"/>
  <c r="A414" i="3" s="1"/>
  <c r="L95" i="2"/>
  <c r="A572" i="3" s="1"/>
  <c r="G92" i="2"/>
  <c r="A410" i="3" s="1"/>
  <c r="L91" i="2"/>
  <c r="A568" i="3" s="1"/>
  <c r="C86" i="2"/>
  <c r="A86" i="3" s="1"/>
  <c r="G86" i="2"/>
  <c r="A404" i="3" s="1"/>
  <c r="G159" i="2"/>
  <c r="A477" i="3" s="1"/>
  <c r="G155" i="2"/>
  <c r="A473" i="3" s="1"/>
  <c r="G151" i="2"/>
  <c r="A469" i="3" s="1"/>
  <c r="G147" i="2"/>
  <c r="A465" i="3" s="1"/>
  <c r="G143" i="2"/>
  <c r="A461" i="3" s="1"/>
  <c r="G139" i="2"/>
  <c r="A457" i="3" s="1"/>
  <c r="G135" i="2"/>
  <c r="A453" i="3" s="1"/>
  <c r="G131" i="2"/>
  <c r="A449" i="3" s="1"/>
  <c r="G127" i="2"/>
  <c r="A445" i="3" s="1"/>
  <c r="G123" i="2"/>
  <c r="A441" i="3" s="1"/>
  <c r="G119" i="2"/>
  <c r="A437" i="3" s="1"/>
  <c r="G115" i="2"/>
  <c r="A433" i="3" s="1"/>
  <c r="G111" i="2"/>
  <c r="A429" i="3" s="1"/>
  <c r="G107" i="2"/>
  <c r="A425" i="3" s="1"/>
  <c r="G103" i="2"/>
  <c r="A421" i="3" s="1"/>
  <c r="G99" i="2"/>
  <c r="A417" i="3" s="1"/>
  <c r="G95" i="2"/>
  <c r="A413" i="3" s="1"/>
  <c r="G82" i="2"/>
  <c r="A400" i="3" s="1"/>
  <c r="G78" i="2"/>
  <c r="A396" i="3" s="1"/>
  <c r="L77" i="2"/>
  <c r="A554" i="3" s="1"/>
  <c r="G74" i="2"/>
  <c r="A392" i="3" s="1"/>
  <c r="L73" i="2"/>
  <c r="A550" i="3" s="1"/>
  <c r="V71" i="2"/>
  <c r="A866" i="3" s="1"/>
  <c r="G70" i="2"/>
  <c r="A388" i="3" s="1"/>
  <c r="L69" i="2"/>
  <c r="A546" i="3" s="1"/>
  <c r="V67" i="2"/>
  <c r="A862" i="3" s="1"/>
  <c r="G66" i="2"/>
  <c r="A384" i="3" s="1"/>
  <c r="L65" i="2"/>
  <c r="A542" i="3" s="1"/>
  <c r="V63" i="2"/>
  <c r="A858" i="3" s="1"/>
  <c r="G62" i="2"/>
  <c r="A380" i="3" s="1"/>
  <c r="L61" i="2"/>
  <c r="A538" i="3" s="1"/>
  <c r="V59" i="2"/>
  <c r="A854" i="3" s="1"/>
  <c r="G58" i="2"/>
  <c r="A376" i="3" s="1"/>
  <c r="L57" i="2"/>
  <c r="A534" i="3" s="1"/>
  <c r="V55" i="2"/>
  <c r="A850" i="3" s="1"/>
  <c r="G54" i="2"/>
  <c r="A372" i="3" s="1"/>
  <c r="L53" i="2"/>
  <c r="A530" i="3" s="1"/>
  <c r="V51" i="2"/>
  <c r="A846" i="3" s="1"/>
  <c r="G50" i="2"/>
  <c r="A368" i="3" s="1"/>
  <c r="L49" i="2"/>
  <c r="A526" i="3" s="1"/>
  <c r="V47" i="2"/>
  <c r="A842" i="3" s="1"/>
  <c r="G46" i="2"/>
  <c r="A364" i="3" s="1"/>
  <c r="L45" i="2"/>
  <c r="A522" i="3" s="1"/>
  <c r="V43" i="2"/>
  <c r="A838" i="3" s="1"/>
  <c r="G42" i="2"/>
  <c r="A360" i="3" s="1"/>
  <c r="L41" i="2"/>
  <c r="A518" i="3" s="1"/>
  <c r="V39" i="2"/>
  <c r="A834" i="3" s="1"/>
  <c r="G38" i="2"/>
  <c r="A356" i="3" s="1"/>
  <c r="L37" i="2"/>
  <c r="A514" i="3" s="1"/>
  <c r="V35" i="2"/>
  <c r="A830" i="3" s="1"/>
  <c r="G34" i="2"/>
  <c r="A352" i="3" s="1"/>
  <c r="L33" i="2"/>
  <c r="A510" i="3" s="1"/>
  <c r="V31" i="2"/>
  <c r="A826" i="3" s="1"/>
  <c r="G30" i="2"/>
  <c r="A348" i="3" s="1"/>
  <c r="L29" i="2"/>
  <c r="A506" i="3" s="1"/>
  <c r="V27" i="2"/>
  <c r="A822" i="3" s="1"/>
  <c r="G26" i="2"/>
  <c r="A344" i="3" s="1"/>
  <c r="L25" i="2"/>
  <c r="A502" i="3" s="1"/>
  <c r="V23" i="2"/>
  <c r="A818" i="3" s="1"/>
  <c r="G22" i="2"/>
  <c r="A340" i="3" s="1"/>
  <c r="L21" i="2"/>
  <c r="A498" i="3" s="1"/>
  <c r="V19" i="2"/>
  <c r="A814" i="3" s="1"/>
  <c r="G18" i="2"/>
  <c r="A336" i="3" s="1"/>
  <c r="L17" i="2"/>
  <c r="A494" i="3" s="1"/>
  <c r="V15" i="2"/>
  <c r="A810" i="3" s="1"/>
  <c r="G14" i="2"/>
  <c r="A332" i="3" s="1"/>
  <c r="L13" i="2"/>
  <c r="A490" i="3" s="1"/>
  <c r="V11" i="2"/>
  <c r="A806" i="3" s="1"/>
  <c r="G10" i="2"/>
  <c r="A328" i="3" s="1"/>
  <c r="L9" i="2"/>
  <c r="A486" i="3" s="1"/>
  <c r="V7" i="2"/>
  <c r="A802" i="3" s="1"/>
  <c r="G6" i="2"/>
  <c r="A324" i="3" s="1"/>
  <c r="L5" i="2"/>
  <c r="A482" i="3" s="1"/>
  <c r="C13" i="2"/>
  <c r="A13" i="3" s="1"/>
  <c r="C9" i="2"/>
  <c r="A9" i="3" s="1"/>
  <c r="C5" i="2"/>
  <c r="A5" i="3" s="1"/>
  <c r="L71" i="2"/>
  <c r="A548" i="3" s="1"/>
  <c r="L67" i="2"/>
  <c r="A544" i="3" s="1"/>
  <c r="L63" i="2"/>
  <c r="A540" i="3" s="1"/>
  <c r="L59" i="2"/>
  <c r="A536" i="3" s="1"/>
  <c r="L55" i="2"/>
  <c r="A532" i="3" s="1"/>
  <c r="L51" i="2"/>
  <c r="A528" i="3" s="1"/>
  <c r="L47" i="2"/>
  <c r="A524" i="3" s="1"/>
  <c r="L43" i="2"/>
  <c r="A520" i="3" s="1"/>
  <c r="L39" i="2"/>
  <c r="A516" i="3" s="1"/>
  <c r="L35" i="2"/>
  <c r="A512" i="3" s="1"/>
  <c r="L31" i="2"/>
  <c r="A508" i="3" s="1"/>
  <c r="L27" i="2"/>
  <c r="A504" i="3" s="1"/>
  <c r="L23" i="2"/>
  <c r="A500" i="3" s="1"/>
  <c r="L19" i="2"/>
  <c r="A496" i="3" s="1"/>
  <c r="L15" i="2"/>
  <c r="A492" i="3" s="1"/>
  <c r="G71" i="2"/>
  <c r="A389" i="3" s="1"/>
  <c r="G67" i="2"/>
  <c r="A385" i="3" s="1"/>
  <c r="G63" i="2"/>
  <c r="A381" i="3" s="1"/>
  <c r="G59" i="2"/>
  <c r="A377" i="3" s="1"/>
  <c r="G55" i="2"/>
  <c r="A373" i="3" s="1"/>
  <c r="G51" i="2"/>
  <c r="A369" i="3" s="1"/>
  <c r="G47" i="2"/>
  <c r="A365" i="3" s="1"/>
  <c r="G43" i="2"/>
  <c r="A361" i="3" s="1"/>
  <c r="G39" i="2"/>
  <c r="A357" i="3" s="1"/>
  <c r="G35" i="2"/>
  <c r="A353" i="3" s="1"/>
  <c r="G31" i="2"/>
  <c r="A349" i="3" s="1"/>
  <c r="G27" i="2"/>
  <c r="A345" i="3" s="1"/>
  <c r="G23" i="2"/>
  <c r="A341" i="3" s="1"/>
  <c r="G19" i="2"/>
  <c r="A337" i="3" s="1"/>
  <c r="G15" i="2"/>
  <c r="A333" i="3" s="1"/>
  <c r="K4" i="2" l="1"/>
  <c r="B481" i="3" s="1"/>
  <c r="G4" i="3" l="1"/>
  <c r="F4" i="3"/>
  <c r="Y4" i="2"/>
  <c r="X4" i="2"/>
  <c r="W4" i="2"/>
  <c r="U4" i="2"/>
  <c r="B799" i="3" s="1"/>
  <c r="T4" i="2"/>
  <c r="S4" i="2"/>
  <c r="R4" i="2"/>
  <c r="P4" i="2"/>
  <c r="B640" i="3" s="1"/>
  <c r="O4" i="2"/>
  <c r="N4" i="2"/>
  <c r="M4" i="2"/>
  <c r="J4" i="2"/>
  <c r="I4" i="2"/>
  <c r="H4" i="2"/>
  <c r="F4" i="2"/>
  <c r="B322" i="3" s="1"/>
  <c r="D4" i="2"/>
  <c r="B163" i="3" s="1"/>
  <c r="B4" i="2"/>
  <c r="A4" i="2"/>
  <c r="V4" i="2" s="1"/>
  <c r="A799" i="3" s="1"/>
  <c r="C4" i="2" l="1"/>
  <c r="A4" i="3" s="1"/>
  <c r="G4" i="2"/>
  <c r="A322" i="3" s="1"/>
  <c r="L4" i="2"/>
  <c r="A481" i="3" s="1"/>
  <c r="E4" i="2"/>
  <c r="A163" i="3" s="1"/>
  <c r="Q4" i="2"/>
  <c r="A640" i="3" s="1"/>
  <c r="B4" i="3"/>
</calcChain>
</file>

<file path=xl/sharedStrings.xml><?xml version="1.0" encoding="utf-8"?>
<sst xmlns="http://schemas.openxmlformats.org/spreadsheetml/2006/main" count="657" uniqueCount="341">
  <si>
    <t>起点</t>
  </si>
  <si>
    <t>标题</t>
  </si>
  <si>
    <t>对话</t>
  </si>
  <si>
    <t>选项1</t>
  </si>
  <si>
    <t>选项1执行type</t>
  </si>
  <si>
    <t>选项1执行参数</t>
  </si>
  <si>
    <t>选项2</t>
  </si>
  <si>
    <t>选项2执行type</t>
  </si>
  <si>
    <t>选项2执行参数</t>
  </si>
  <si>
    <t>选项3</t>
  </si>
  <si>
    <t>选项3执行type</t>
  </si>
  <si>
    <t>选项3执行参数</t>
  </si>
  <si>
    <t>选项4</t>
  </si>
  <si>
    <t>选项4执行type</t>
  </si>
  <si>
    <t>选项4执行参数</t>
  </si>
  <si>
    <t>INT</t>
  </si>
  <si>
    <t>STRING</t>
  </si>
  <si>
    <t>*id</t>
  </si>
  <si>
    <t>options.0.type</t>
  </si>
  <si>
    <t>options.0.param1</t>
  </si>
  <si>
    <t>options.0.param2</t>
  </si>
  <si>
    <t>options.1.type</t>
  </si>
  <si>
    <t>options.1.param1</t>
  </si>
  <si>
    <t>options.1.param2</t>
  </si>
  <si>
    <t>options.2.type</t>
  </si>
  <si>
    <t>options.2.param1</t>
  </si>
  <si>
    <t>options.2.param2</t>
  </si>
  <si>
    <t>options.3.name</t>
  </si>
  <si>
    <t>options.3.type</t>
  </si>
  <si>
    <t>options.3.param1</t>
  </si>
  <si>
    <t>options.3.param2</t>
  </si>
  <si>
    <t>缇娜</t>
  </si>
  <si>
    <t>今天可是你加入报名加入刷子公会的日子，你还能迟到，不过不用担心，我给你报过名了。</t>
  </si>
  <si>
    <t>别胡说啦，你可是未来的英雄。快和刷子公会的伊迪丝小姐对话，别让她等太久了。</t>
  </si>
  <si>
    <t>伊迪丝</t>
  </si>
  <si>
    <t>加油，冒险者。</t>
  </si>
  <si>
    <t>怎么打造？</t>
  </si>
  <si>
    <t>装备了新的装备，你看起来精神多了。</t>
  </si>
  <si>
    <t>你讨伐了盗贼吗？</t>
  </si>
  <si>
    <t>你圆满的完成了试炼任务。</t>
  </si>
  <si>
    <t>卡玛是负责城镇物资的，她以前是负责笔试考核的，她正在城外，你可以找她完成考核。</t>
  </si>
  <si>
    <t>以前的考官？</t>
  </si>
  <si>
    <t>不用惊讶，卡玛是最好的考官，只是城镇人手不足，她才去负责物资的。</t>
  </si>
  <si>
    <t>卡玛</t>
  </si>
  <si>
    <t>你好，我是负责城镇物资的，你有什么事吗？</t>
  </si>
  <si>
    <t>我是来完成笔试考核的，你是卡玛吗？</t>
  </si>
  <si>
    <t>已经很久没人来我这里进行考核了，一般的冒险者是不用参加笔试的，看来你很特殊。</t>
  </si>
  <si>
    <t>一般不用吗？</t>
  </si>
  <si>
    <t>第一题：装备的打造是靠玩家打怪掉落的材料吗？</t>
  </si>
  <si>
    <t>不是</t>
  </si>
  <si>
    <t>很遗憾，你答错了。别灰心，继续加油。</t>
  </si>
  <si>
    <t>第二题：精英怪物每多久刷新一次？</t>
  </si>
  <si>
    <t>30分钟</t>
  </si>
  <si>
    <t>40分钟</t>
  </si>
  <si>
    <t>50分钟</t>
  </si>
  <si>
    <t>60分钟</t>
  </si>
  <si>
    <t>第三题：战斗的时候可以携带几个技能？</t>
  </si>
  <si>
    <t>3个</t>
  </si>
  <si>
    <t>2个</t>
  </si>
  <si>
    <t>1个</t>
  </si>
  <si>
    <t>4个</t>
  </si>
  <si>
    <t>你回答对了所有问题，恭喜你了。你正式加入了刷子公会。</t>
  </si>
  <si>
    <t>接下来你可以去找伊迪丝，他有任务要给你。</t>
  </si>
  <si>
    <t>只有经过地狱般的磨练,才能炼就出创造天堂的力量。</t>
  </si>
  <si>
    <t>你获得哥布林的头骨了吗？</t>
  </si>
  <si>
    <t>交纳物品</t>
  </si>
  <si>
    <t>我继续去战斗</t>
  </si>
  <si>
    <t>击杀了这么多哥布林战士，足够吸引出哥布林狂战士了。冒险者，请你去讨伐哥布林狂战士，请小心，他很强。</t>
  </si>
  <si>
    <t>狂战士很强大，你讨伐他了吗？</t>
  </si>
  <si>
    <t>好的</t>
  </si>
  <si>
    <t>你认识缇娜？</t>
  </si>
  <si>
    <t>正好接下来，我要去勇者之森调查最近魔物增多的原因。你与我一起去吧，我在勇者之森的等你。</t>
  </si>
  <si>
    <t>帕莎</t>
  </si>
  <si>
    <t>冒险者，怎么样了？</t>
  </si>
  <si>
    <t>谢谢你冒险者，这是是罗斯送我的第一件礼物。</t>
  </si>
  <si>
    <t>冒险者，你能猎取一些螃蟹，把他的肉给我吗？我准备把这帮吃我耳环的怪物炖了。</t>
  </si>
  <si>
    <t>冒险者你帮我狩猎到蟹肉了吗？</t>
  </si>
  <si>
    <t>感谢你冒险者，这样我就可以回去了。再见了，冒险者</t>
  </si>
  <si>
    <t>又见面了，冒险者。</t>
  </si>
  <si>
    <t>卡玛小姐，需要帮助吗？</t>
  </si>
  <si>
    <t>现在城外比较危险，神殿不允许外出。大家物资都见底了，如果你有熊皮，我可以给你很丰厚的任务。</t>
  </si>
  <si>
    <t>城外的渔夫一直游荡，害的镇民都不敢去海边了，你能讨伐掉他们吗？</t>
  </si>
  <si>
    <t>冒险者，你讨伐了渔民了么？</t>
  </si>
  <si>
    <t>冒险者，你狩猎到鹿肉了么？</t>
  </si>
  <si>
    <t>谢谢你了，冒险者，城镇中的人会记住你的恩德的。</t>
  </si>
  <si>
    <t>汉森</t>
  </si>
  <si>
    <t>想为神殿办事，需要的供奉自然是不能少的。</t>
  </si>
  <si>
    <t>盗贼身上会有铁块，你若是能帮我回收一些，神殿的这次任务，我就让你去做。</t>
  </si>
  <si>
    <t>不感兴趣</t>
  </si>
  <si>
    <t>你挺懂事，那么你就去讨伐异端巫婆吧。</t>
  </si>
  <si>
    <t>击杀这么多，我也算消气了。</t>
  </si>
  <si>
    <t>巫婆的身上会有破碎的魔法结晶，你去可收集了给我。</t>
  </si>
  <si>
    <t>那东西可以卖钱的，你知道不知道，快去给我收集去。</t>
  </si>
  <si>
    <t>神殿的任务你都不接了吗？冒险者？</t>
  </si>
  <si>
    <t>你别走啊，我可打不过巫婆。</t>
  </si>
  <si>
    <t>大人，我错了，我会给你报酬的，帮帮我。</t>
  </si>
  <si>
    <t>谢谢大人，谢谢阁下。</t>
  </si>
  <si>
    <t>你收集到破碎的魔法结晶没？</t>
  </si>
  <si>
    <t>算你完成了。这些巫婆真是活该。</t>
  </si>
  <si>
    <t>沃克</t>
  </si>
  <si>
    <t>阁下收缴好了吗？</t>
  </si>
  <si>
    <t>多谢阁下，不愧是人类的精英刷子公会的人。</t>
  </si>
  <si>
    <t>交纳宝玉</t>
  </si>
  <si>
    <t>阁下，真是天纵英才，您讨伐一些剩下的哥布林法师吧？</t>
  </si>
  <si>
    <t>阁下若是能完成任务，我正好知道神殿密谋的是什么，可以告诉阁下。</t>
  </si>
  <si>
    <t>阁下，您收集了破碎的魔法结晶吗？</t>
  </si>
  <si>
    <t>多谢阁下，您真是人类未来的希望。</t>
  </si>
  <si>
    <t>阁下放心，我会守约的。</t>
  </si>
  <si>
    <t>神殿的圣子要去沃野沼泽，去进攻蜥蜴人的部落。</t>
  </si>
  <si>
    <t>士兵被征召，如果成功就永远归属神殿了。到时候，神殿就更势大了。</t>
  </si>
  <si>
    <t>冒险者阁下，我先回城了。再见。</t>
  </si>
  <si>
    <t>熊</t>
  </si>
  <si>
    <t>嗷唔！嗷唔！嗷唔！！（要战斗吗？战斗吗？战斗吗？）</t>
  </si>
  <si>
    <t>盗贼</t>
  </si>
  <si>
    <t>猎物，你要和我战斗吗？</t>
  </si>
  <si>
    <t>哥布林狂战士</t>
  </si>
  <si>
    <t>比咯比咯比咯比！（你要我战斗吗？人类。）</t>
  </si>
  <si>
    <t>哥布林大祭师</t>
  </si>
  <si>
    <t>比咯比咯比！（人类，你是来和我战斗的？）</t>
  </si>
  <si>
    <t>#title</t>
  </si>
  <si>
    <t>#dialog</t>
  </si>
  <si>
    <t>#options.0.name</t>
  </si>
  <si>
    <t>#options.1.name</t>
  </si>
  <si>
    <t>#options.2.name</t>
  </si>
  <si>
    <t>#options.3.name</t>
  </si>
  <si>
    <t>id</t>
  </si>
  <si>
    <t>中文</t>
  </si>
  <si>
    <t>英文</t>
  </si>
  <si>
    <t>表长度</t>
  </si>
  <si>
    <t>c0</t>
  </si>
  <si>
    <t>c1</t>
  </si>
  <si>
    <t>卡玛</t>
    <phoneticPr fontId="2" type="noConversion"/>
  </si>
  <si>
    <t>缇娜</t>
    <phoneticPr fontId="2" type="noConversion"/>
  </si>
  <si>
    <t>你来啦！</t>
    <phoneticPr fontId="2" type="noConversion"/>
  </si>
  <si>
    <t>伊迪丝</t>
    <phoneticPr fontId="2" type="noConversion"/>
  </si>
  <si>
    <t>永远不要勉强自己啊！</t>
    <phoneticPr fontId="2" type="noConversion"/>
  </si>
  <si>
    <t>继续去冒险吧！</t>
    <phoneticPr fontId="2" type="noConversion"/>
  </si>
  <si>
    <t>城里的孩子都等着物资呢。</t>
    <phoneticPr fontId="2" type="noConversion"/>
  </si>
  <si>
    <t>汉森</t>
    <phoneticPr fontId="2" type="noConversion"/>
  </si>
  <si>
    <t>真不知道神殿的高层整天在吵什么！</t>
    <phoneticPr fontId="2" type="noConversion"/>
  </si>
  <si>
    <t>帕莎</t>
    <phoneticPr fontId="2" type="noConversion"/>
  </si>
  <si>
    <t>沃克</t>
    <phoneticPr fontId="2" type="noConversion"/>
  </si>
  <si>
    <t>神殿的讨厌鬼总是给人添麻烦。</t>
    <phoneticPr fontId="2" type="noConversion"/>
  </si>
  <si>
    <t>是</t>
    <phoneticPr fontId="2" type="noConversion"/>
  </si>
  <si>
    <t>不是</t>
    <phoneticPr fontId="2" type="noConversion"/>
  </si>
  <si>
    <t>少废话，快说神殿的密谋</t>
    <phoneticPr fontId="2" type="noConversion"/>
  </si>
  <si>
    <t>我再去收集</t>
    <phoneticPr fontId="2" type="noConversion"/>
  </si>
  <si>
    <t>我去猎杀</t>
    <phoneticPr fontId="2" type="noConversion"/>
  </si>
  <si>
    <t>别得寸进尺</t>
    <phoneticPr fontId="2" type="noConversion"/>
  </si>
  <si>
    <t>我再去猎取</t>
    <phoneticPr fontId="2" type="noConversion"/>
  </si>
  <si>
    <t>我再去狩猎</t>
    <phoneticPr fontId="2" type="noConversion"/>
  </si>
  <si>
    <t>好的</t>
    <phoneticPr fontId="2" type="noConversion"/>
  </si>
  <si>
    <t>我知道了</t>
    <phoneticPr fontId="2" type="noConversion"/>
  </si>
  <si>
    <t>我知道了</t>
    <phoneticPr fontId="2" type="noConversion"/>
  </si>
  <si>
    <t>交纳破碎的魔法结晶</t>
    <phoneticPr fontId="2" type="noConversion"/>
  </si>
  <si>
    <t>好，我接受你的委托</t>
    <phoneticPr fontId="2" type="noConversion"/>
  </si>
  <si>
    <t>击杀过了</t>
    <phoneticPr fontId="2" type="noConversion"/>
  </si>
  <si>
    <t>好吧，我去猎杀</t>
    <phoneticPr fontId="2" type="noConversion"/>
  </si>
  <si>
    <t>好吧，我接受你的委托</t>
    <phoneticPr fontId="2" type="noConversion"/>
  </si>
  <si>
    <t>你来的好早啊！缇娜</t>
    <phoneticPr fontId="2" type="noConversion"/>
  </si>
  <si>
    <t>你真是个贤妻良母</t>
    <phoneticPr fontId="2" type="noConversion"/>
  </si>
  <si>
    <t>麻烦的事情开始了</t>
    <phoneticPr fontId="2" type="noConversion"/>
  </si>
  <si>
    <t>好的</t>
    <phoneticPr fontId="2" type="noConversion"/>
  </si>
  <si>
    <t>是的</t>
    <phoneticPr fontId="2" type="noConversion"/>
  </si>
  <si>
    <t>继续离开</t>
    <phoneticPr fontId="2" type="noConversion"/>
  </si>
  <si>
    <t>接受</t>
    <phoneticPr fontId="2" type="noConversion"/>
  </si>
  <si>
    <t>完成了</t>
    <phoneticPr fontId="2" type="noConversion"/>
  </si>
  <si>
    <t>不客气</t>
    <phoneticPr fontId="2" type="noConversion"/>
  </si>
  <si>
    <t>讨伐了</t>
    <phoneticPr fontId="2" type="noConversion"/>
  </si>
  <si>
    <t>好的</t>
    <phoneticPr fontId="2" type="noConversion"/>
  </si>
  <si>
    <t>我这就去</t>
    <phoneticPr fontId="2" type="noConversion"/>
  </si>
  <si>
    <t>谢谢</t>
    <phoneticPr fontId="2" type="noConversion"/>
  </si>
  <si>
    <t>开始吧</t>
    <phoneticPr fontId="2" type="noConversion"/>
  </si>
  <si>
    <t>好吧</t>
    <phoneticPr fontId="2" type="noConversion"/>
  </si>
  <si>
    <t>盗贼已被我击杀</t>
    <phoneticPr fontId="2" type="noConversion"/>
  </si>
  <si>
    <t>转身离开</t>
    <phoneticPr fontId="2" type="noConversion"/>
  </si>
  <si>
    <t>收集那个做什么</t>
    <phoneticPr fontId="2" type="noConversion"/>
  </si>
  <si>
    <t>我再去讨伐</t>
    <phoneticPr fontId="2" type="noConversion"/>
  </si>
  <si>
    <t>应该的</t>
    <phoneticPr fontId="2" type="noConversion"/>
  </si>
  <si>
    <t>我再去寻找</t>
    <phoneticPr fontId="2" type="noConversion"/>
  </si>
  <si>
    <t>暂时还没有，我继续去讨伐他</t>
    <phoneticPr fontId="2" type="noConversion"/>
  </si>
  <si>
    <t>我继续去战斗</t>
    <phoneticPr fontId="2" type="noConversion"/>
  </si>
  <si>
    <t>等我更强大我再去</t>
    <phoneticPr fontId="2" type="noConversion"/>
  </si>
  <si>
    <t>我还在忙，以后再来</t>
    <phoneticPr fontId="2" type="noConversion"/>
  </si>
  <si>
    <t>好难</t>
    <phoneticPr fontId="2" type="noConversion"/>
  </si>
  <si>
    <t>我还没去，我这就去</t>
    <phoneticPr fontId="2" type="noConversion"/>
  </si>
  <si>
    <t>你任务完成的怎么样了？</t>
    <phoneticPr fontId="2" type="noConversion"/>
  </si>
  <si>
    <t>…</t>
    <phoneticPr fontId="2" type="noConversion"/>
  </si>
  <si>
    <t>…</t>
    <phoneticPr fontId="2" type="noConversion"/>
  </si>
  <si>
    <r>
      <t>在坐标60.43处，38.12处，53.33处</t>
    </r>
    <r>
      <rPr>
        <sz val="11"/>
        <color theme="1"/>
        <rFont val="宋体"/>
        <charset val="134"/>
        <scheme val="minor"/>
      </rPr>
      <t>有野熊，他们的皮很适合做防具的材料。你去狩猎野熊获得他们的皮，去锻造所就可以打造了。</t>
    </r>
    <phoneticPr fontId="2" type="noConversion"/>
  </si>
  <si>
    <t>不过，你还有笔试考核要回答。</t>
    <phoneticPr fontId="2" type="noConversion"/>
  </si>
  <si>
    <t>你不知道？看来你是伊迪丝安排的了。</t>
    <phoneticPr fontId="2" type="noConversion"/>
  </si>
  <si>
    <t>是的</t>
    <phoneticPr fontId="2" type="noConversion"/>
  </si>
  <si>
    <t>出城前缇娜还提起你，说你要加入刷子公会呢！</t>
    <phoneticPr fontId="2" type="noConversion"/>
  </si>
  <si>
    <t>看来你成功的通过了考核，恭喜你冒险者。这样你就是刷子公会的一员了。</t>
    <phoneticPr fontId="2" type="noConversion"/>
  </si>
  <si>
    <t>我战胜了他</t>
    <phoneticPr fontId="2" type="noConversion"/>
  </si>
  <si>
    <t>狂战士是哥布林先知的手下，有它的地方就有哥布林先知。</t>
    <phoneticPr fontId="2" type="noConversion"/>
  </si>
  <si>
    <t>卡玛刚来过，提起你是城中缇娜的朋友。缇娜，最近好像很勤奋的在帮助大家。</t>
    <phoneticPr fontId="2" type="noConversion"/>
  </si>
  <si>
    <t>缇娜一向这么善良</t>
    <phoneticPr fontId="2" type="noConversion"/>
  </si>
  <si>
    <t>那你也使出全力，为人类的未来奉献一份力量吧。</t>
    <phoneticPr fontId="2" type="noConversion"/>
  </si>
  <si>
    <t>正要告诉你，我获得了哥布林的宝石</t>
    <phoneticPr fontId="2" type="noConversion"/>
  </si>
  <si>
    <t>我还没有</t>
    <phoneticPr fontId="2" type="noConversion"/>
  </si>
  <si>
    <t>打好了。你可以再击杀些鹿，带回来一些鹿肉吗？</t>
    <phoneticPr fontId="2" type="noConversion"/>
  </si>
  <si>
    <t>我是银月矿产资源的幕僚长，北方的山脉被哥布林占领，导致城内没有铁资源采集，我来侦查情况。</t>
    <phoneticPr fontId="2" type="noConversion"/>
  </si>
  <si>
    <t>阁下，你能这么轻松的回收这么多武器，我想，有一个任务阁下，一定能完成。</t>
    <phoneticPr fontId="2" type="noConversion"/>
  </si>
  <si>
    <t>哥布林族的狂战士在北方48.63周围，阁下如果有他的兽皮，那我还有个任务，交给阁下。</t>
    <phoneticPr fontId="2" type="noConversion"/>
  </si>
  <si>
    <t>真正的士兵都被神殿强行征召了。留守的士兵，连游荡的渔夫都难以应付。</t>
    <phoneticPr fontId="2" type="noConversion"/>
  </si>
  <si>
    <t>神殿在刷子公会的强者外出后就在密谋什么。</t>
    <phoneticPr fontId="2" type="noConversion"/>
  </si>
  <si>
    <t>…</t>
    <phoneticPr fontId="2" type="noConversion"/>
  </si>
  <si>
    <t>西方有盗贼，他们身上肯定有很多铁矿，你若果有铁矿，交给我，我有很多对你有益的任务。</t>
    <phoneticPr fontId="2" type="noConversion"/>
  </si>
  <si>
    <t>好的</t>
    <phoneticPr fontId="2" type="noConversion"/>
  </si>
  <si>
    <t>你是新加入刷子公会的冒险者？</t>
    <phoneticPr fontId="2" type="noConversion"/>
  </si>
  <si>
    <t>交纳铁矿</t>
    <phoneticPr fontId="2" type="noConversion"/>
  </si>
  <si>
    <t>城镇外围有很多游荡的渔民，他们很被塞壬的歌声迷惑，已经没有救了。</t>
    <phoneticPr fontId="2" type="noConversion"/>
  </si>
  <si>
    <t>多谢阁下，这些稍微能缓解一下紧急的情况了。</t>
    <phoneticPr fontId="2" type="noConversion"/>
  </si>
  <si>
    <t>汉森</t>
    <phoneticPr fontId="2" type="noConversion"/>
  </si>
  <si>
    <t>离开</t>
    <phoneticPr fontId="2" type="noConversion"/>
  </si>
  <si>
    <t>好的</t>
    <phoneticPr fontId="2" type="noConversion"/>
  </si>
  <si>
    <t>你能讨伐了他们，帮我们开一条回城的路出来吗？</t>
    <phoneticPr fontId="2" type="noConversion"/>
  </si>
  <si>
    <t>已经完成了</t>
    <phoneticPr fontId="2" type="noConversion"/>
  </si>
  <si>
    <t>我去猎取</t>
  </si>
  <si>
    <t>我去猎取</t>
    <phoneticPr fontId="2" type="noConversion"/>
  </si>
  <si>
    <t>那么，咱们开始吧，你准备好了吗？</t>
    <phoneticPr fontId="2" type="noConversion"/>
  </si>
  <si>
    <t>我好像见过你，你是不是缇娜的朋友？</t>
    <phoneticPr fontId="2" type="noConversion"/>
  </si>
  <si>
    <t>阁下，你讨伐掉那帮渔夫了么？</t>
    <phoneticPr fontId="2" type="noConversion"/>
  </si>
  <si>
    <t>可怜的渔夫，塞壬夜里经常会高歌，在海边的渔夫听到就会被迷惑。</t>
    <phoneticPr fontId="2" type="noConversion"/>
  </si>
  <si>
    <t>对了，阁下，渔夫拿有武器，阁下能回收他们的武器吗？</t>
    <phoneticPr fontId="2" type="noConversion"/>
  </si>
  <si>
    <t>哥布林先知有一个宝石，你获得了吗。</t>
    <phoneticPr fontId="2" type="noConversion"/>
  </si>
  <si>
    <t>你讨伐了哥布林先知了吗？</t>
    <phoneticPr fontId="2" type="noConversion"/>
  </si>
  <si>
    <t>你有铁矿交给我吗？</t>
    <phoneticPr fontId="2" type="noConversion"/>
  </si>
  <si>
    <t>你回收他们的武器了吗？</t>
    <phoneticPr fontId="2" type="noConversion"/>
  </si>
  <si>
    <t>已经回收了</t>
    <phoneticPr fontId="2" type="noConversion"/>
  </si>
  <si>
    <t>我去猎取</t>
    <phoneticPr fontId="2" type="noConversion"/>
  </si>
  <si>
    <t>沃克</t>
    <phoneticPr fontId="2" type="noConversion"/>
  </si>
  <si>
    <t>阁下，可有了兽皮？</t>
    <phoneticPr fontId="2" type="noConversion"/>
  </si>
  <si>
    <t>交纳兽皮</t>
    <phoneticPr fontId="2" type="noConversion"/>
  </si>
  <si>
    <t>已经收缴好了</t>
    <phoneticPr fontId="2" type="noConversion"/>
  </si>
  <si>
    <t>阁下，您扫荡了哥布林法师了吗？</t>
    <phoneticPr fontId="2" type="noConversion"/>
  </si>
  <si>
    <t>阁下，都到了这一步了，阁下能直接去讨伐哥布林先知吗？获得他的宝玉交给我。</t>
    <phoneticPr fontId="2" type="noConversion"/>
  </si>
  <si>
    <t>好的</t>
    <phoneticPr fontId="2" type="noConversion"/>
  </si>
  <si>
    <t>我还有事</t>
    <phoneticPr fontId="2" type="noConversion"/>
  </si>
  <si>
    <t>阁下，您获得宝玉了吗？</t>
    <phoneticPr fontId="2" type="noConversion"/>
  </si>
  <si>
    <t>阁下，哥布林法师身上的破碎的魔法结晶可是好东西，阁下可以获得一些。我会告诉阁下我知道的关于神殿所有的消息。</t>
    <phoneticPr fontId="2" type="noConversion"/>
  </si>
  <si>
    <t>收集好了</t>
    <phoneticPr fontId="2" type="noConversion"/>
  </si>
  <si>
    <t>这里有考核用的武器，你可以用它击杀鹿。</t>
    <phoneticPr fontId="2" type="noConversion"/>
  </si>
  <si>
    <t>作为考核的第一项，你去矿洞周围狩猎一些鹿来弥补下城市的食物吧。</t>
    <phoneticPr fontId="2" type="noConversion"/>
  </si>
  <si>
    <t>这么快你就完成了任务，新进冒险者中，你是速度最快的。</t>
    <phoneticPr fontId="2" type="noConversion"/>
  </si>
  <si>
    <t>是要加入刷子公会啊！刷子公会是冒险者的公会，所谓冒险者就是帮助人们完成他们发布的任务的人，最近魔物突然增多，公会人手不足，所以招募了你们这些新人。</t>
    <phoneticPr fontId="2" type="noConversion"/>
  </si>
  <si>
    <t>因为冒险者经常身处险境，所以要加入公会必须先通过考核。最近怪物做乱，神殿不准人们出门狩猎，食物有些短缺。</t>
    <phoneticPr fontId="2" type="noConversion"/>
  </si>
  <si>
    <t>帕莎</t>
    <phoneticPr fontId="2" type="noConversion"/>
  </si>
  <si>
    <t>接下来你去海边寻找帕莎，她出城很久还没回来，可能需要你的帮助。</t>
    <phoneticPr fontId="2" type="noConversion"/>
  </si>
  <si>
    <t>太好了，这样蟹肉就收集好了，谢谢你冒险者。</t>
    <phoneticPr fontId="2" type="noConversion"/>
  </si>
  <si>
    <t>不客气</t>
    <phoneticPr fontId="2" type="noConversion"/>
  </si>
  <si>
    <t>城外有很多被塞壬的歌神迷惑的渔夫，阁下能帮我讨伐他们，这样我就能回城了。</t>
    <phoneticPr fontId="2" type="noConversion"/>
  </si>
  <si>
    <t>阁下，城外的渔夫怎么样了？</t>
    <phoneticPr fontId="2" type="noConversion"/>
  </si>
  <si>
    <t>已经讨伐好了</t>
    <phoneticPr fontId="2" type="noConversion"/>
  </si>
  <si>
    <t>我继续去讨伐</t>
    <phoneticPr fontId="2" type="noConversion"/>
  </si>
  <si>
    <t>是的</t>
    <phoneticPr fontId="2" type="noConversion"/>
  </si>
  <si>
    <t>你好，你找我有什么事吗？</t>
    <phoneticPr fontId="2" type="noConversion"/>
  </si>
  <si>
    <t>伊迪丝说你可能需要帮助</t>
    <phoneticPr fontId="2" type="noConversion"/>
  </si>
  <si>
    <t>伊迪丝？这么说你是冒险者。太好了，我出城寻找食材，看到海边很多螃蟹你能帮我猎杀他们获得蟹肉吗？</t>
    <phoneticPr fontId="2" type="noConversion"/>
  </si>
  <si>
    <t>太好了，我要回城了，谢谢你阁下，也请阁下替我谢谢伊迪丝。</t>
    <phoneticPr fontId="2" type="noConversion"/>
  </si>
  <si>
    <t>你帮助帕莎了吗?</t>
    <phoneticPr fontId="2" type="noConversion"/>
  </si>
  <si>
    <t>她已经准备回城了</t>
    <phoneticPr fontId="2" type="noConversion"/>
  </si>
  <si>
    <t>汉森</t>
    <phoneticPr fontId="2" type="noConversion"/>
  </si>
  <si>
    <t>这个时候出现在城外，你是刷子公会的冒险者?</t>
    <phoneticPr fontId="2" type="noConversion"/>
  </si>
  <si>
    <t>那正好，我是神殿的汉森·卡特，负责围杀该死的异端，我正好需要你的力量。</t>
    <phoneticPr fontId="2" type="noConversion"/>
  </si>
  <si>
    <t>…</t>
    <phoneticPr fontId="2" type="noConversion"/>
  </si>
  <si>
    <t>巫婆经常在海边不远处的路边为祸，你的任务是讨伐巫婆。</t>
    <phoneticPr fontId="2" type="noConversion"/>
  </si>
  <si>
    <t>哦，对了，坐标43.25周围经常会有物资，你讨伐完巫婆收集一些回来。</t>
    <phoneticPr fontId="2" type="noConversion"/>
  </si>
  <si>
    <t>很好，那你接下来去找城外的汉森，他刚才发来求援信号，看来他有麻烦了。</t>
    <phoneticPr fontId="2" type="noConversion"/>
  </si>
  <si>
    <t>冒险者，神殿的任务，你做的怎么样了？</t>
    <phoneticPr fontId="2" type="noConversion"/>
  </si>
  <si>
    <t>交纳物资</t>
  </si>
  <si>
    <t>还好，算你完成任务了，你回去报告给你的上司吧。</t>
    <phoneticPr fontId="2" type="noConversion"/>
  </si>
  <si>
    <t>汉森那里发生了什么？</t>
    <phoneticPr fontId="2" type="noConversion"/>
  </si>
  <si>
    <t>汉森让我讨伐了巫婆</t>
    <phoneticPr fontId="2" type="noConversion"/>
  </si>
  <si>
    <t>区区巫婆，神殿的人竟然发求援信号，真是不嫌事大？</t>
    <phoneticPr fontId="2" type="noConversion"/>
  </si>
  <si>
    <t>…</t>
    <phoneticPr fontId="2" type="noConversion"/>
  </si>
  <si>
    <t>不过，巫婆被神殿驱逐后，就经常作乱，今天，你是为民除害了。</t>
    <phoneticPr fontId="2" type="noConversion"/>
  </si>
  <si>
    <t>巫婆为什么被神殿驱逐</t>
    <phoneticPr fontId="2" type="noConversion"/>
  </si>
  <si>
    <t>不说这些。接下来你还有任务。不过作为冒险者，你最好打造一套属于你的装备。</t>
    <phoneticPr fontId="2" type="noConversion"/>
  </si>
  <si>
    <t>在西边卡拉尔山脉和大海的中间，坐标21.51周围，那里最近被盗贼占领了。</t>
    <phoneticPr fontId="2" type="noConversion"/>
  </si>
  <si>
    <t>接下来你的任务就是讨伐掉那里的盗贼。</t>
    <phoneticPr fontId="2" type="noConversion"/>
  </si>
  <si>
    <t>矿产资源的幕僚长沃克传来消息，说卡拉尔山脉下的平原被哥布林占领。</t>
    <phoneticPr fontId="2" type="noConversion"/>
  </si>
  <si>
    <t>我希望你去调查一下，击杀哥布林战士获得一些他们的头骨。</t>
    <phoneticPr fontId="2" type="noConversion"/>
  </si>
  <si>
    <t>皮特曼</t>
    <phoneticPr fontId="2" type="noConversion"/>
  </si>
  <si>
    <t>冒险者，快离开这里，这里很危险。</t>
    <phoneticPr fontId="2" type="noConversion"/>
  </si>
  <si>
    <t>离开</t>
    <phoneticPr fontId="2" type="noConversion"/>
  </si>
  <si>
    <t>狂战士死了，哥布林先知恐怕很难随意出现了。哥布林营地周围应该有银月城的斥候监视，你可以询问一下他们怎么勾引出先知。</t>
    <phoneticPr fontId="2" type="noConversion"/>
  </si>
  <si>
    <t>我知道了</t>
    <phoneticPr fontId="2" type="noConversion"/>
  </si>
  <si>
    <t>好想快点回到罗斯身边。</t>
    <phoneticPr fontId="2" type="noConversion"/>
  </si>
  <si>
    <t>我是银月城的斥候，你快离开这里，这里是哥布林的营地。</t>
    <phoneticPr fontId="2" type="noConversion"/>
  </si>
  <si>
    <t>伊迪丝让我来的</t>
  </si>
  <si>
    <t>看刷子公会的精英啊，阁下终于来了，我终于可以离开这里了。</t>
    <phoneticPr fontId="2" type="noConversion"/>
  </si>
  <si>
    <t>是我</t>
    <phoneticPr fontId="2" type="noConversion"/>
  </si>
  <si>
    <t>之前不知道是谁讨伐了哥布林狂战士，现在哥布林先知基本不现身了。</t>
    <phoneticPr fontId="2" type="noConversion"/>
  </si>
  <si>
    <t>想要勾引出哥布林先知，需要先去击杀哥布林法师，哥布林先知必定会出现与你战斗。</t>
    <phoneticPr fontId="2" type="noConversion"/>
  </si>
  <si>
    <t>那祝阁下好运。</t>
    <phoneticPr fontId="2" type="noConversion"/>
  </si>
  <si>
    <t>谢谢</t>
    <phoneticPr fontId="2" type="noConversion"/>
  </si>
  <si>
    <t>哎呀，一看阁下就是强者，怪不得会被派来讨伐哥布林先知。</t>
    <phoneticPr fontId="2" type="noConversion"/>
  </si>
  <si>
    <t>已经讨伐了</t>
    <phoneticPr fontId="2" type="noConversion"/>
  </si>
  <si>
    <t>你的实力果然和缇娜说的一样强大。你夺回了属于人类的地盘。</t>
    <phoneticPr fontId="2" type="noConversion"/>
  </si>
  <si>
    <t>哥布林先知的宝石是最为重要的道具，你可要好好使用它。</t>
    <phoneticPr fontId="2" type="noConversion"/>
  </si>
  <si>
    <t xml:space="preserve">好的 </t>
    <phoneticPr fontId="2" type="noConversion"/>
  </si>
  <si>
    <t>你好，冒险者，又见面了。</t>
    <phoneticPr fontId="2" type="noConversion"/>
  </si>
  <si>
    <t>你还需要什么帮助吗</t>
    <phoneticPr fontId="2" type="noConversion"/>
  </si>
  <si>
    <t>我去猎取。</t>
    <phoneticPr fontId="2" type="noConversion"/>
  </si>
  <si>
    <t>你这是有熊皮了么？</t>
    <phoneticPr fontId="2" type="noConversion"/>
  </si>
  <si>
    <t>我需要一块熊皮，你能帮我猎取吗？</t>
    <phoneticPr fontId="2" type="noConversion"/>
  </si>
  <si>
    <t>交纳熊皮</t>
    <phoneticPr fontId="2" type="noConversion"/>
  </si>
  <si>
    <t>谢谢你，冒险者，我是城中商人罗斯的未婚妻，他送我的耳环丢在了海边，可能被螃蟹捡走了，你能帮我讨伐螃蟹夺回耳环吗？</t>
    <phoneticPr fontId="2" type="noConversion"/>
  </si>
  <si>
    <t>交纳耳环</t>
    <phoneticPr fontId="2" type="noConversion"/>
  </si>
  <si>
    <t>我去寻找</t>
    <phoneticPr fontId="2" type="noConversion"/>
  </si>
  <si>
    <t>冒险者，你有熊皮了吗？</t>
    <phoneticPr fontId="2" type="noConversion"/>
  </si>
  <si>
    <t>你好像是刷子公会的冒险者?</t>
    <phoneticPr fontId="2" type="noConversion"/>
  </si>
  <si>
    <t>我去收集</t>
    <phoneticPr fontId="2" type="noConversion"/>
  </si>
  <si>
    <t>你收集到铁块没？</t>
    <phoneticPr fontId="2" type="noConversion"/>
  </si>
  <si>
    <t>交纳铁块</t>
    <phoneticPr fontId="2" type="noConversion"/>
  </si>
  <si>
    <t>交纳鹿肉</t>
    <phoneticPr fontId="2" type="noConversion"/>
  </si>
  <si>
    <t>交纳蟹肉</t>
    <phoneticPr fontId="2" type="noConversion"/>
  </si>
  <si>
    <t>又见面了，冒险者。</t>
    <phoneticPr fontId="2" type="noConversion"/>
  </si>
  <si>
    <t>你怎么还在这里</t>
    <phoneticPr fontId="2" type="noConversion"/>
  </si>
  <si>
    <t>嘿嘿，阁下，我哥布林先知的宝玉是好东西啊，阁下能帮我猎取到吗？</t>
    <phoneticPr fontId="2" type="noConversion"/>
  </si>
  <si>
    <t>离开</t>
    <phoneticPr fontId="2" type="noConversion"/>
  </si>
  <si>
    <t>阁下，你猎取到宝玉没？</t>
    <phoneticPr fontId="2" type="noConversion"/>
  </si>
  <si>
    <t>交纳宝玉</t>
    <phoneticPr fontId="2" type="noConversion"/>
  </si>
  <si>
    <t>阁下真是强大</t>
    <phoneticPr fontId="2" type="noConversion"/>
  </si>
  <si>
    <t>阁下，我新接到的任务是：等待援军，肃清哥布林，任务时限马上就到，可是援军迟迟不到。</t>
    <phoneticPr fontId="2" type="noConversion"/>
  </si>
  <si>
    <t>所以，阁下能帮我讨伐这里的哥布林战士吗？</t>
    <phoneticPr fontId="2" type="noConversion"/>
  </si>
  <si>
    <t>阁下，真是迅速啊！</t>
    <phoneticPr fontId="2" type="noConversion"/>
  </si>
  <si>
    <t>阁下，接下来能帮我讨伐哥布林法师，获得他们的破碎的魔法结晶，我好交差。</t>
    <phoneticPr fontId="2" type="noConversion"/>
  </si>
  <si>
    <t>阁下，你收集了破碎的魔法结晶吗？</t>
    <phoneticPr fontId="2" type="noConversion"/>
  </si>
  <si>
    <t>收集好了</t>
    <phoneticPr fontId="2" type="noConversion"/>
  </si>
  <si>
    <t>多谢阁下相助，不然我就被军法处置了。</t>
    <phoneticPr fontId="2" type="noConversion"/>
  </si>
  <si>
    <t>阁下，既然击杀了狂战士，那么，也请阁下讨伐一下周围的哥布林战士吧！</t>
    <phoneticPr fontId="2" type="noConversion"/>
  </si>
  <si>
    <t>阁下，讨伐的怎么样？</t>
    <phoneticPr fontId="2" type="noConversion"/>
  </si>
  <si>
    <t>已经完成了</t>
    <phoneticPr fontId="2" type="noConversion"/>
  </si>
  <si>
    <t>阁下，真是强大。</t>
    <phoneticPr fontId="2" type="noConversion"/>
  </si>
  <si>
    <t>阁下他们身上有破碎的铁块，阁下可以帮我收集一下。我带回去，可以让士兵更有信心来收复这里。</t>
    <phoneticPr fontId="2" type="noConversion"/>
  </si>
  <si>
    <t>好吧，我接受你的委托</t>
    <phoneticPr fontId="2" type="noConversion"/>
  </si>
  <si>
    <t>士兵怎么这么胆小了？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</si>
</sst>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0">
    <xf numFmtId="0" fontId="0" fillId="0" borderId="0"/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7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/>
    <xf numFmtId="0" fontId="1" fillId="1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5" borderId="3" applyNumberFormat="0" applyFont="0" applyAlignment="0" applyProtection="0">
      <alignment vertical="center"/>
    </xf>
    <xf numFmtId="0" fontId="1" fillId="5" borderId="3" applyNumberFormat="0" applyFont="0" applyAlignment="0" applyProtection="0">
      <alignment vertical="center"/>
    </xf>
    <xf numFmtId="0" fontId="1" fillId="5" borderId="3" applyNumberFormat="0" applyFont="0" applyAlignment="0" applyProtection="0">
      <alignment vertical="center"/>
    </xf>
  </cellStyleXfs>
  <cellXfs count="25">
    <xf numFmtId="0" fontId="0" fillId="0" borderId="0" xfId="0"/>
    <xf numFmtId="0" fontId="1" fillId="0" borderId="0" xfId="15">
      <alignment vertical="center"/>
    </xf>
    <xf numFmtId="0" fontId="1" fillId="0" borderId="0" xfId="16">
      <alignment vertical="center"/>
    </xf>
    <xf numFmtId="0" fontId="1" fillId="2" borderId="1" xfId="16" applyFill="1" applyBorder="1">
      <alignment vertical="center"/>
    </xf>
    <xf numFmtId="0" fontId="1" fillId="2" borderId="0" xfId="16" applyFill="1">
      <alignment vertical="center"/>
    </xf>
    <xf numFmtId="0" fontId="0" fillId="3" borderId="1" xfId="0" applyFill="1" applyBorder="1"/>
    <xf numFmtId="0" fontId="0" fillId="3" borderId="0" xfId="0" applyFill="1"/>
    <xf numFmtId="0" fontId="1" fillId="3" borderId="1" xfId="16" applyFill="1" applyBorder="1">
      <alignment vertical="center"/>
    </xf>
    <xf numFmtId="0" fontId="1" fillId="3" borderId="0" xfId="16" applyFill="1">
      <alignment vertical="center"/>
    </xf>
    <xf numFmtId="0" fontId="1" fillId="2" borderId="2" xfId="16" applyFill="1" applyBorder="1">
      <alignment vertical="center"/>
    </xf>
    <xf numFmtId="0" fontId="1" fillId="3" borderId="2" xfId="16" applyFill="1" applyBorder="1">
      <alignment vertical="center"/>
    </xf>
    <xf numFmtId="0" fontId="0" fillId="3" borderId="0" xfId="16" applyFont="1" applyFill="1" applyAlignment="1">
      <alignment vertical="center"/>
    </xf>
    <xf numFmtId="0" fontId="0" fillId="2" borderId="1" xfId="16" applyFont="1" applyFill="1" applyBorder="1">
      <alignment vertical="center"/>
    </xf>
    <xf numFmtId="0" fontId="0" fillId="0" borderId="0" xfId="16" applyFont="1">
      <alignment vertical="center"/>
    </xf>
    <xf numFmtId="0" fontId="1" fillId="0" borderId="0" xfId="16" applyFill="1">
      <alignment vertical="center"/>
    </xf>
    <xf numFmtId="0" fontId="0" fillId="0" borderId="0" xfId="16" applyFont="1" applyFill="1">
      <alignment vertical="center"/>
    </xf>
    <xf numFmtId="0" fontId="0" fillId="3" borderId="1" xfId="16" applyFont="1" applyFill="1" applyBorder="1">
      <alignment vertical="center"/>
    </xf>
    <xf numFmtId="0" fontId="3" fillId="2" borderId="1" xfId="16" applyFont="1" applyFill="1" applyBorder="1">
      <alignment vertical="center"/>
    </xf>
    <xf numFmtId="0" fontId="3" fillId="3" borderId="1" xfId="16" applyFont="1" applyFill="1" applyBorder="1">
      <alignment vertical="center"/>
    </xf>
    <xf numFmtId="0" fontId="3" fillId="0" borderId="0" xfId="16" applyFont="1">
      <alignment vertical="center"/>
    </xf>
    <xf numFmtId="0" fontId="3" fillId="0" borderId="0" xfId="0" applyFont="1" applyAlignment="1">
      <alignment horizontal="justify"/>
    </xf>
    <xf numFmtId="0" fontId="3" fillId="0" borderId="0" xfId="0" applyFont="1"/>
    <xf numFmtId="0" fontId="3" fillId="0" borderId="0" xfId="16" applyFont="1" applyFill="1">
      <alignment vertical="center"/>
    </xf>
    <xf numFmtId="0" fontId="3" fillId="2" borderId="0" xfId="16" applyFont="1" applyFill="1">
      <alignment vertical="center"/>
    </xf>
    <xf numFmtId="0" fontId="3" fillId="3" borderId="0" xfId="16" applyFont="1" applyFill="1">
      <alignment vertical="center"/>
    </xf>
  </cellXfs>
  <cellStyles count="20">
    <cellStyle name="20% - 强调文字颜色 1 2" xfId="1"/>
    <cellStyle name="20% - 强调文字颜色 2 2" xfId="8"/>
    <cellStyle name="20% - 强调文字颜色 3 2" xfId="9"/>
    <cellStyle name="20% - 强调文字颜色 4 2" xfId="10"/>
    <cellStyle name="20% - 强调文字颜色 5 2" xfId="12"/>
    <cellStyle name="20% - 强调文字颜色 6 2" xfId="13"/>
    <cellStyle name="40% - 强调文字颜色 1 2" xfId="3"/>
    <cellStyle name="40% - 强调文字颜色 2 2" xfId="4"/>
    <cellStyle name="40% - 强调文字颜色 3 2" xfId="14"/>
    <cellStyle name="40% - 强调文字颜色 4 2" xfId="2"/>
    <cellStyle name="40% - 强调文字颜色 5 2" xfId="5"/>
    <cellStyle name="40% - 强调文字颜色 6 2" xfId="7"/>
    <cellStyle name="常规" xfId="0" builtinId="0"/>
    <cellStyle name="常规 2" xfId="16"/>
    <cellStyle name="常规 2 2" xfId="6"/>
    <cellStyle name="常规 3" xfId="11"/>
    <cellStyle name="常规 4" xfId="15"/>
    <cellStyle name="注释 2" xfId="17"/>
    <cellStyle name="注释 2 2" xfId="18"/>
    <cellStyle name="注释 3" xfId="1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62"/>
  <sheetViews>
    <sheetView tabSelected="1" topLeftCell="A58" zoomScale="115" zoomScaleNormal="115" workbookViewId="0">
      <selection activeCell="B72" sqref="B72"/>
    </sheetView>
  </sheetViews>
  <sheetFormatPr defaultColWidth="9" defaultRowHeight="13.5" x14ac:dyDescent="0.15"/>
  <cols>
    <col min="1" max="1" width="13.125" customWidth="1"/>
    <col min="2" max="2" width="14.5" customWidth="1"/>
    <col min="3" max="3" width="67.125" customWidth="1"/>
    <col min="4" max="4" width="17.375" style="3" customWidth="1"/>
    <col min="5" max="5" width="14.875" style="4" customWidth="1"/>
    <col min="6" max="6" width="13.875" style="4" customWidth="1"/>
    <col min="7" max="7" width="6" style="4" customWidth="1"/>
    <col min="8" max="8" width="19.875" style="5" customWidth="1"/>
    <col min="9" max="9" width="16.375" style="6" customWidth="1"/>
    <col min="10" max="10" width="10.5" style="6" customWidth="1"/>
    <col min="11" max="11" width="12.75" style="6" customWidth="1"/>
    <col min="12" max="12" width="9" style="3"/>
    <col min="13" max="13" width="9" style="4"/>
    <col min="14" max="14" width="10.75" style="4" customWidth="1"/>
    <col min="15" max="15" width="13" style="4" customWidth="1"/>
    <col min="16" max="16" width="9" style="7"/>
    <col min="17" max="17" width="9" style="8"/>
    <col min="18" max="18" width="10.75" style="8" customWidth="1"/>
    <col min="19" max="19" width="12.75" style="8" customWidth="1"/>
  </cols>
  <sheetData>
    <row r="1" spans="1:19" x14ac:dyDescent="0.15">
      <c r="A1" s="2" t="s">
        <v>0</v>
      </c>
      <c r="B1" s="2" t="s">
        <v>1</v>
      </c>
      <c r="C1" s="2" t="s">
        <v>2</v>
      </c>
      <c r="D1" s="9" t="s">
        <v>3</v>
      </c>
      <c r="E1" s="4" t="s">
        <v>4</v>
      </c>
      <c r="F1" s="4" t="s">
        <v>5</v>
      </c>
      <c r="G1" s="4" t="s">
        <v>5</v>
      </c>
      <c r="H1" s="10" t="s">
        <v>6</v>
      </c>
      <c r="I1" s="8" t="s">
        <v>7</v>
      </c>
      <c r="J1" s="8" t="s">
        <v>8</v>
      </c>
      <c r="K1" s="8" t="s">
        <v>8</v>
      </c>
      <c r="L1" s="9" t="s">
        <v>9</v>
      </c>
      <c r="M1" s="4" t="s">
        <v>10</v>
      </c>
      <c r="N1" s="4" t="s">
        <v>11</v>
      </c>
      <c r="O1" s="4" t="s">
        <v>11</v>
      </c>
      <c r="P1" s="10" t="s">
        <v>12</v>
      </c>
      <c r="Q1" s="8" t="s">
        <v>12</v>
      </c>
      <c r="R1" s="8" t="s">
        <v>13</v>
      </c>
      <c r="S1" s="8" t="s">
        <v>14</v>
      </c>
    </row>
    <row r="2" spans="1:19" x14ac:dyDescent="0.15">
      <c r="A2" s="2" t="s">
        <v>15</v>
      </c>
      <c r="B2" s="2" t="s">
        <v>16</v>
      </c>
      <c r="C2" s="2" t="s">
        <v>16</v>
      </c>
      <c r="D2" s="3" t="s">
        <v>16</v>
      </c>
      <c r="E2" s="4" t="s">
        <v>15</v>
      </c>
      <c r="F2" s="4" t="s">
        <v>15</v>
      </c>
      <c r="G2" s="4" t="s">
        <v>16</v>
      </c>
      <c r="H2" s="7" t="s">
        <v>16</v>
      </c>
      <c r="I2" s="8" t="s">
        <v>15</v>
      </c>
      <c r="J2" s="8" t="s">
        <v>15</v>
      </c>
      <c r="K2" s="8" t="s">
        <v>15</v>
      </c>
      <c r="L2" s="3" t="s">
        <v>16</v>
      </c>
      <c r="M2" s="4" t="s">
        <v>15</v>
      </c>
      <c r="N2" s="4" t="s">
        <v>15</v>
      </c>
      <c r="O2" s="4" t="s">
        <v>15</v>
      </c>
      <c r="P2" s="7" t="s">
        <v>16</v>
      </c>
      <c r="Q2" s="8" t="s">
        <v>15</v>
      </c>
      <c r="R2" s="8" t="s">
        <v>15</v>
      </c>
      <c r="S2" s="8" t="s">
        <v>15</v>
      </c>
    </row>
    <row r="3" spans="1:19" x14ac:dyDescent="0.15">
      <c r="A3" s="2" t="s">
        <v>17</v>
      </c>
      <c r="B3" s="2"/>
      <c r="C3" s="2"/>
      <c r="E3" s="4" t="s">
        <v>18</v>
      </c>
      <c r="F3" s="4" t="s">
        <v>19</v>
      </c>
      <c r="G3" s="4" t="s">
        <v>20</v>
      </c>
      <c r="H3" s="7"/>
      <c r="I3" s="8" t="s">
        <v>21</v>
      </c>
      <c r="J3" s="8" t="s">
        <v>22</v>
      </c>
      <c r="K3" s="8" t="s">
        <v>23</v>
      </c>
      <c r="M3" s="4" t="s">
        <v>24</v>
      </c>
      <c r="N3" s="4" t="s">
        <v>25</v>
      </c>
      <c r="O3" s="4" t="s">
        <v>26</v>
      </c>
      <c r="P3" s="7" t="s">
        <v>27</v>
      </c>
      <c r="Q3" s="8" t="s">
        <v>28</v>
      </c>
      <c r="R3" s="8" t="s">
        <v>29</v>
      </c>
      <c r="S3" s="8" t="s">
        <v>30</v>
      </c>
    </row>
    <row r="4" spans="1:19" x14ac:dyDescent="0.15">
      <c r="A4" s="2">
        <v>1100100</v>
      </c>
      <c r="B4" s="2" t="s">
        <v>31</v>
      </c>
      <c r="C4" s="13" t="s">
        <v>133</v>
      </c>
      <c r="D4" s="12" t="s">
        <v>159</v>
      </c>
      <c r="F4" s="4">
        <v>1100101</v>
      </c>
      <c r="H4" s="7"/>
      <c r="I4" s="11"/>
      <c r="J4" s="8"/>
      <c r="K4" s="8"/>
    </row>
    <row r="5" spans="1:19" x14ac:dyDescent="0.15">
      <c r="A5" s="2">
        <v>1100101</v>
      </c>
      <c r="B5" s="2" t="s">
        <v>31</v>
      </c>
      <c r="C5" s="2" t="s">
        <v>32</v>
      </c>
      <c r="D5" s="12" t="s">
        <v>161</v>
      </c>
      <c r="F5" s="4">
        <v>1100102</v>
      </c>
      <c r="H5" s="16" t="s">
        <v>160</v>
      </c>
      <c r="I5" s="11"/>
      <c r="J5" s="7">
        <v>1100102</v>
      </c>
      <c r="K5" s="8"/>
    </row>
    <row r="6" spans="1:19" x14ac:dyDescent="0.15">
      <c r="A6" s="2">
        <v>1100102</v>
      </c>
      <c r="B6" s="2" t="s">
        <v>31</v>
      </c>
      <c r="C6" s="2" t="s">
        <v>33</v>
      </c>
      <c r="D6" s="17" t="s">
        <v>162</v>
      </c>
      <c r="E6" s="4">
        <v>1</v>
      </c>
      <c r="H6" s="7"/>
      <c r="I6" s="8"/>
      <c r="J6" s="8"/>
      <c r="K6" s="8"/>
    </row>
    <row r="7" spans="1:19" x14ac:dyDescent="0.15">
      <c r="A7" s="2">
        <v>1100200</v>
      </c>
      <c r="B7" s="20" t="s">
        <v>34</v>
      </c>
      <c r="C7" s="19" t="s">
        <v>247</v>
      </c>
      <c r="D7" s="12" t="s">
        <v>187</v>
      </c>
      <c r="F7" s="4">
        <v>1100301</v>
      </c>
      <c r="H7" s="7"/>
      <c r="I7" s="8"/>
      <c r="J7" s="8"/>
      <c r="K7" s="8"/>
    </row>
    <row r="8" spans="1:19" x14ac:dyDescent="0.15">
      <c r="A8" s="2">
        <v>1100201</v>
      </c>
      <c r="B8" s="20" t="s">
        <v>34</v>
      </c>
      <c r="C8" s="19" t="s">
        <v>248</v>
      </c>
      <c r="D8" s="12" t="s">
        <v>187</v>
      </c>
      <c r="F8" s="4">
        <v>1100302</v>
      </c>
      <c r="H8" s="7"/>
      <c r="I8" s="8"/>
      <c r="J8" s="8"/>
      <c r="K8" s="8"/>
    </row>
    <row r="9" spans="1:19" x14ac:dyDescent="0.15">
      <c r="A9" s="2">
        <v>1100202</v>
      </c>
      <c r="B9" s="20" t="s">
        <v>34</v>
      </c>
      <c r="C9" s="19" t="s">
        <v>245</v>
      </c>
      <c r="D9" s="17" t="s">
        <v>162</v>
      </c>
      <c r="F9" s="4">
        <v>1100303</v>
      </c>
      <c r="H9" s="7"/>
      <c r="I9" s="8"/>
      <c r="J9" s="8"/>
      <c r="K9" s="8"/>
    </row>
    <row r="10" spans="1:19" x14ac:dyDescent="0.15">
      <c r="A10" s="2">
        <v>1100203</v>
      </c>
      <c r="B10" s="20" t="s">
        <v>34</v>
      </c>
      <c r="C10" s="20" t="s">
        <v>244</v>
      </c>
      <c r="D10" s="17" t="s">
        <v>169</v>
      </c>
      <c r="E10" s="4">
        <v>1</v>
      </c>
      <c r="H10" s="7"/>
      <c r="I10" s="8"/>
      <c r="J10" s="8"/>
      <c r="K10" s="8"/>
    </row>
    <row r="11" spans="1:19" x14ac:dyDescent="0.15">
      <c r="A11" s="2">
        <v>1100300</v>
      </c>
      <c r="B11" s="20" t="s">
        <v>34</v>
      </c>
      <c r="C11" s="19" t="s">
        <v>246</v>
      </c>
      <c r="D11" s="12" t="s">
        <v>187</v>
      </c>
      <c r="F11" s="4">
        <v>1100401</v>
      </c>
      <c r="H11" s="7"/>
      <c r="I11" s="8"/>
      <c r="J11" s="8"/>
      <c r="K11" s="8"/>
    </row>
    <row r="12" spans="1:19" x14ac:dyDescent="0.15">
      <c r="A12" s="2">
        <v>1100301</v>
      </c>
      <c r="B12" s="20" t="s">
        <v>34</v>
      </c>
      <c r="C12" s="19" t="s">
        <v>250</v>
      </c>
      <c r="D12" s="17" t="s">
        <v>162</v>
      </c>
      <c r="E12" s="4">
        <v>1</v>
      </c>
      <c r="H12" s="7"/>
      <c r="I12" s="8"/>
      <c r="J12" s="8"/>
      <c r="K12" s="8"/>
    </row>
    <row r="13" spans="1:19" x14ac:dyDescent="0.15">
      <c r="A13" s="2">
        <v>1100400</v>
      </c>
      <c r="B13" s="20" t="s">
        <v>249</v>
      </c>
      <c r="C13" s="19" t="s">
        <v>258</v>
      </c>
      <c r="D13" s="17" t="s">
        <v>259</v>
      </c>
      <c r="F13" s="4">
        <v>1100451</v>
      </c>
      <c r="H13" s="7"/>
      <c r="I13" s="8"/>
      <c r="J13" s="8"/>
      <c r="K13" s="8"/>
    </row>
    <row r="14" spans="1:19" x14ac:dyDescent="0.15">
      <c r="A14" s="2">
        <v>1100401</v>
      </c>
      <c r="B14" s="20" t="s">
        <v>249</v>
      </c>
      <c r="C14" s="19" t="s">
        <v>260</v>
      </c>
      <c r="D14" s="17" t="s">
        <v>239</v>
      </c>
      <c r="E14" s="4">
        <v>1</v>
      </c>
      <c r="H14" s="7"/>
      <c r="I14" s="8"/>
      <c r="J14" s="8"/>
      <c r="K14" s="8"/>
    </row>
    <row r="15" spans="1:19" x14ac:dyDescent="0.15">
      <c r="A15" s="2">
        <v>1100450</v>
      </c>
      <c r="B15" s="20" t="s">
        <v>249</v>
      </c>
      <c r="C15" s="19" t="s">
        <v>251</v>
      </c>
      <c r="D15" s="17" t="s">
        <v>252</v>
      </c>
      <c r="H15" s="7"/>
      <c r="I15" s="8"/>
      <c r="J15" s="8"/>
      <c r="K15" s="8"/>
    </row>
    <row r="16" spans="1:19" x14ac:dyDescent="0.15">
      <c r="A16" s="2">
        <v>1100451</v>
      </c>
      <c r="B16" s="20" t="s">
        <v>249</v>
      </c>
      <c r="C16" s="19" t="s">
        <v>253</v>
      </c>
      <c r="D16" s="17" t="s">
        <v>239</v>
      </c>
      <c r="E16" s="4">
        <v>1</v>
      </c>
      <c r="H16" s="7"/>
      <c r="I16" s="8"/>
      <c r="J16" s="8"/>
      <c r="K16" s="8"/>
    </row>
    <row r="17" spans="1:11" x14ac:dyDescent="0.15">
      <c r="A17" s="2">
        <v>1100480</v>
      </c>
      <c r="B17" s="20" t="s">
        <v>249</v>
      </c>
      <c r="C17" s="19" t="s">
        <v>254</v>
      </c>
      <c r="D17" s="17" t="s">
        <v>255</v>
      </c>
      <c r="H17" s="18" t="s">
        <v>256</v>
      </c>
      <c r="I17" s="8">
        <v>2</v>
      </c>
      <c r="J17" s="8"/>
      <c r="K17" s="8"/>
    </row>
    <row r="18" spans="1:11" x14ac:dyDescent="0.15">
      <c r="A18" s="2">
        <v>1100481</v>
      </c>
      <c r="B18" s="20" t="s">
        <v>249</v>
      </c>
      <c r="C18" s="19" t="s">
        <v>261</v>
      </c>
      <c r="D18" s="17" t="s">
        <v>239</v>
      </c>
      <c r="E18" s="4">
        <v>1</v>
      </c>
      <c r="H18" s="18"/>
      <c r="I18" s="8"/>
      <c r="J18" s="8"/>
      <c r="K18" s="8"/>
    </row>
    <row r="19" spans="1:11" x14ac:dyDescent="0.15">
      <c r="A19" s="2">
        <v>1100500</v>
      </c>
      <c r="B19" s="20" t="s">
        <v>34</v>
      </c>
      <c r="C19" s="19" t="s">
        <v>262</v>
      </c>
      <c r="D19" s="17" t="s">
        <v>263</v>
      </c>
      <c r="F19" s="4">
        <v>1100501</v>
      </c>
      <c r="H19" s="7"/>
      <c r="I19" s="8"/>
      <c r="J19" s="8"/>
      <c r="K19" s="8"/>
    </row>
    <row r="20" spans="1:11" x14ac:dyDescent="0.15">
      <c r="A20" s="2">
        <v>1100501</v>
      </c>
      <c r="B20" s="20" t="s">
        <v>34</v>
      </c>
      <c r="C20" s="19" t="s">
        <v>270</v>
      </c>
      <c r="D20" s="17" t="s">
        <v>239</v>
      </c>
      <c r="E20" s="4">
        <v>1</v>
      </c>
      <c r="H20" s="7"/>
      <c r="I20" s="8"/>
      <c r="J20" s="8"/>
      <c r="K20" s="8"/>
    </row>
    <row r="21" spans="1:11" x14ac:dyDescent="0.15">
      <c r="A21" s="2">
        <v>1100550</v>
      </c>
      <c r="B21" s="20" t="s">
        <v>264</v>
      </c>
      <c r="C21" s="19" t="s">
        <v>265</v>
      </c>
      <c r="D21" s="17" t="s">
        <v>257</v>
      </c>
      <c r="F21" s="4">
        <v>1100551</v>
      </c>
      <c r="H21" s="7"/>
      <c r="I21" s="8"/>
      <c r="J21" s="8"/>
      <c r="K21" s="8"/>
    </row>
    <row r="22" spans="1:11" x14ac:dyDescent="0.15">
      <c r="A22" s="2">
        <v>1100551</v>
      </c>
      <c r="B22" s="20" t="s">
        <v>264</v>
      </c>
      <c r="C22" s="19" t="s">
        <v>266</v>
      </c>
      <c r="D22" s="17" t="s">
        <v>267</v>
      </c>
      <c r="F22" s="4">
        <v>1100552</v>
      </c>
      <c r="H22" s="7"/>
      <c r="I22" s="8"/>
      <c r="J22" s="8"/>
      <c r="K22" s="8"/>
    </row>
    <row r="23" spans="1:11" x14ac:dyDescent="0.15">
      <c r="A23" s="2">
        <v>1100552</v>
      </c>
      <c r="B23" s="20" t="s">
        <v>264</v>
      </c>
      <c r="C23" s="19" t="s">
        <v>268</v>
      </c>
      <c r="D23" s="17" t="s">
        <v>162</v>
      </c>
      <c r="F23" s="4">
        <v>1100553</v>
      </c>
      <c r="H23" s="7"/>
      <c r="I23" s="8"/>
      <c r="J23" s="8"/>
      <c r="K23" s="8"/>
    </row>
    <row r="24" spans="1:11" x14ac:dyDescent="0.15">
      <c r="A24" s="2">
        <v>1100553</v>
      </c>
      <c r="B24" s="20" t="s">
        <v>264</v>
      </c>
      <c r="C24" s="19" t="s">
        <v>269</v>
      </c>
      <c r="D24" s="17" t="s">
        <v>162</v>
      </c>
      <c r="E24" s="4">
        <v>1</v>
      </c>
      <c r="H24" s="7"/>
      <c r="I24" s="8"/>
      <c r="J24" s="8"/>
      <c r="K24" s="8"/>
    </row>
    <row r="25" spans="1:11" x14ac:dyDescent="0.15">
      <c r="A25" s="2">
        <v>1100580</v>
      </c>
      <c r="B25" s="20" t="s">
        <v>264</v>
      </c>
      <c r="C25" s="19" t="s">
        <v>271</v>
      </c>
      <c r="D25" s="17" t="s">
        <v>272</v>
      </c>
      <c r="F25" s="4">
        <v>1100581</v>
      </c>
      <c r="H25" s="7"/>
      <c r="I25" s="8"/>
      <c r="J25" s="8"/>
      <c r="K25" s="8"/>
    </row>
    <row r="26" spans="1:11" x14ac:dyDescent="0.15">
      <c r="A26" s="2">
        <v>1100581</v>
      </c>
      <c r="B26" s="20" t="s">
        <v>264</v>
      </c>
      <c r="C26" s="19" t="s">
        <v>273</v>
      </c>
      <c r="D26" s="17"/>
      <c r="E26" s="4">
        <v>1</v>
      </c>
      <c r="H26" s="18"/>
      <c r="I26" s="8"/>
      <c r="J26" s="8"/>
      <c r="K26" s="8"/>
    </row>
    <row r="27" spans="1:11" x14ac:dyDescent="0.15">
      <c r="A27" s="2">
        <v>1100600</v>
      </c>
      <c r="B27" s="20" t="s">
        <v>34</v>
      </c>
      <c r="C27" s="19" t="s">
        <v>274</v>
      </c>
      <c r="D27" s="17" t="s">
        <v>275</v>
      </c>
      <c r="F27" s="4">
        <v>1100601</v>
      </c>
      <c r="H27" s="7"/>
      <c r="I27" s="8"/>
      <c r="J27" s="8"/>
      <c r="K27" s="8"/>
    </row>
    <row r="28" spans="1:11" x14ac:dyDescent="0.15">
      <c r="A28" s="2">
        <v>1100601</v>
      </c>
      <c r="B28" s="20" t="s">
        <v>34</v>
      </c>
      <c r="C28" s="19" t="s">
        <v>276</v>
      </c>
      <c r="D28" s="17" t="s">
        <v>277</v>
      </c>
      <c r="F28" s="4">
        <v>1100602</v>
      </c>
      <c r="H28" s="7"/>
      <c r="I28" s="8"/>
      <c r="J28" s="8"/>
      <c r="K28" s="8"/>
    </row>
    <row r="29" spans="1:11" x14ac:dyDescent="0.15">
      <c r="A29" s="2">
        <v>1100602</v>
      </c>
      <c r="B29" s="20" t="s">
        <v>34</v>
      </c>
      <c r="C29" s="19" t="s">
        <v>278</v>
      </c>
      <c r="D29" s="12" t="s">
        <v>187</v>
      </c>
      <c r="F29" s="4">
        <v>1100603</v>
      </c>
      <c r="H29" s="18" t="s">
        <v>279</v>
      </c>
      <c r="I29" s="8"/>
      <c r="J29" s="8">
        <v>1100603</v>
      </c>
      <c r="K29" s="8"/>
    </row>
    <row r="30" spans="1:11" x14ac:dyDescent="0.15">
      <c r="A30" s="2">
        <v>1100603</v>
      </c>
      <c r="B30" s="20" t="s">
        <v>34</v>
      </c>
      <c r="C30" s="19" t="s">
        <v>280</v>
      </c>
      <c r="D30" s="3" t="s">
        <v>36</v>
      </c>
      <c r="F30" s="4">
        <v>1100604</v>
      </c>
      <c r="H30" s="7"/>
      <c r="I30" s="8"/>
      <c r="J30" s="8"/>
      <c r="K30" s="8"/>
    </row>
    <row r="31" spans="1:11" x14ac:dyDescent="0.15">
      <c r="A31" s="2">
        <v>1100604</v>
      </c>
      <c r="B31" s="20" t="s">
        <v>34</v>
      </c>
      <c r="C31" s="13" t="s">
        <v>189</v>
      </c>
      <c r="D31" s="17" t="s">
        <v>162</v>
      </c>
      <c r="E31" s="4">
        <v>1</v>
      </c>
      <c r="H31" s="7"/>
      <c r="I31" s="8"/>
      <c r="J31" s="8"/>
      <c r="K31" s="8"/>
    </row>
    <row r="32" spans="1:11" x14ac:dyDescent="0.15">
      <c r="A32" s="2">
        <v>1100700</v>
      </c>
      <c r="B32" s="20" t="s">
        <v>34</v>
      </c>
      <c r="C32" s="2" t="s">
        <v>37</v>
      </c>
      <c r="D32" s="12" t="s">
        <v>187</v>
      </c>
      <c r="F32" s="4">
        <v>1100701</v>
      </c>
      <c r="H32" s="7"/>
      <c r="I32" s="8"/>
      <c r="J32" s="8"/>
      <c r="K32" s="8"/>
    </row>
    <row r="33" spans="1:18" x14ac:dyDescent="0.15">
      <c r="A33" s="2">
        <v>1100701</v>
      </c>
      <c r="B33" s="20" t="s">
        <v>34</v>
      </c>
      <c r="C33" s="19" t="s">
        <v>281</v>
      </c>
      <c r="D33" s="12" t="s">
        <v>187</v>
      </c>
      <c r="F33" s="4">
        <v>1100702</v>
      </c>
      <c r="H33" s="7"/>
      <c r="I33" s="8"/>
      <c r="J33" s="8"/>
      <c r="K33" s="8"/>
    </row>
    <row r="34" spans="1:18" x14ac:dyDescent="0.15">
      <c r="A34" s="2">
        <v>1100702</v>
      </c>
      <c r="B34" s="20" t="s">
        <v>34</v>
      </c>
      <c r="C34" s="19" t="s">
        <v>282</v>
      </c>
      <c r="D34" s="17" t="s">
        <v>162</v>
      </c>
      <c r="E34" s="4">
        <v>1</v>
      </c>
      <c r="H34" s="7"/>
      <c r="I34" s="8"/>
      <c r="J34" s="8"/>
      <c r="K34" s="8"/>
    </row>
    <row r="35" spans="1:18" x14ac:dyDescent="0.15">
      <c r="A35" s="2">
        <v>1100800</v>
      </c>
      <c r="B35" s="20" t="s">
        <v>34</v>
      </c>
      <c r="C35" s="2" t="s">
        <v>38</v>
      </c>
      <c r="D35" s="17" t="s">
        <v>174</v>
      </c>
      <c r="F35" s="4">
        <v>1100802</v>
      </c>
      <c r="H35" s="18" t="s">
        <v>185</v>
      </c>
      <c r="I35" s="8"/>
      <c r="J35" s="8">
        <v>1100801</v>
      </c>
      <c r="K35" s="8"/>
    </row>
    <row r="36" spans="1:18" x14ac:dyDescent="0.15">
      <c r="A36" s="2">
        <v>1100801</v>
      </c>
      <c r="B36" s="20" t="s">
        <v>34</v>
      </c>
      <c r="C36" s="2" t="s">
        <v>35</v>
      </c>
      <c r="D36" s="12" t="s">
        <v>187</v>
      </c>
      <c r="E36" s="4">
        <v>2</v>
      </c>
      <c r="H36" s="7"/>
      <c r="I36" s="8"/>
      <c r="J36" s="8"/>
      <c r="K36" s="8"/>
    </row>
    <row r="37" spans="1:18" x14ac:dyDescent="0.15">
      <c r="A37" s="2">
        <v>1100802</v>
      </c>
      <c r="B37" s="20" t="s">
        <v>34</v>
      </c>
      <c r="C37" s="2" t="s">
        <v>39</v>
      </c>
      <c r="D37" s="17" t="s">
        <v>187</v>
      </c>
      <c r="F37" s="4">
        <v>1100803</v>
      </c>
      <c r="H37" s="7"/>
      <c r="I37" s="8"/>
      <c r="J37" s="8"/>
      <c r="K37" s="8"/>
    </row>
    <row r="38" spans="1:18" x14ac:dyDescent="0.15">
      <c r="A38" s="2">
        <v>1100803</v>
      </c>
      <c r="B38" s="20" t="s">
        <v>34</v>
      </c>
      <c r="C38" s="13" t="s">
        <v>190</v>
      </c>
      <c r="D38" s="12" t="s">
        <v>187</v>
      </c>
      <c r="F38" s="4">
        <v>1100804</v>
      </c>
      <c r="H38" s="7"/>
      <c r="I38" s="8"/>
      <c r="J38" s="8"/>
      <c r="K38" s="8"/>
    </row>
    <row r="39" spans="1:18" x14ac:dyDescent="0.15">
      <c r="A39" s="2">
        <v>1100804</v>
      </c>
      <c r="B39" s="20" t="s">
        <v>34</v>
      </c>
      <c r="C39" s="2" t="s">
        <v>40</v>
      </c>
      <c r="D39" s="17" t="s">
        <v>162</v>
      </c>
      <c r="E39" s="4">
        <v>1</v>
      </c>
      <c r="H39" s="7" t="s">
        <v>41</v>
      </c>
      <c r="I39" s="8"/>
      <c r="J39" s="8">
        <v>1100805</v>
      </c>
      <c r="K39" s="8"/>
    </row>
    <row r="40" spans="1:18" x14ac:dyDescent="0.15">
      <c r="A40" s="2">
        <v>1100805</v>
      </c>
      <c r="B40" s="20" t="s">
        <v>34</v>
      </c>
      <c r="C40" s="2" t="s">
        <v>42</v>
      </c>
      <c r="D40" s="17" t="s">
        <v>173</v>
      </c>
      <c r="E40" s="4">
        <v>1</v>
      </c>
      <c r="H40" s="7"/>
      <c r="I40" s="8"/>
      <c r="J40" s="8"/>
      <c r="K40" s="8"/>
    </row>
    <row r="41" spans="1:18" x14ac:dyDescent="0.15">
      <c r="A41" s="2">
        <v>1100900</v>
      </c>
      <c r="B41" s="20" t="s">
        <v>131</v>
      </c>
      <c r="C41" s="2" t="s">
        <v>44</v>
      </c>
      <c r="D41" s="3" t="s">
        <v>45</v>
      </c>
      <c r="F41" s="4">
        <v>1100901</v>
      </c>
      <c r="H41" s="7"/>
      <c r="I41" s="8"/>
      <c r="J41" s="8"/>
      <c r="K41" s="8"/>
    </row>
    <row r="42" spans="1:18" x14ac:dyDescent="0.15">
      <c r="A42" s="2">
        <v>1100901</v>
      </c>
      <c r="B42" s="20" t="s">
        <v>43</v>
      </c>
      <c r="C42" s="2" t="s">
        <v>46</v>
      </c>
      <c r="D42" s="3" t="s">
        <v>47</v>
      </c>
      <c r="F42" s="4">
        <v>1100902</v>
      </c>
      <c r="H42" s="7"/>
      <c r="I42" s="8"/>
      <c r="J42" s="8"/>
      <c r="K42" s="8"/>
    </row>
    <row r="43" spans="1:18" x14ac:dyDescent="0.15">
      <c r="A43" s="2">
        <v>1100902</v>
      </c>
      <c r="B43" s="20" t="s">
        <v>43</v>
      </c>
      <c r="C43" s="13" t="s">
        <v>191</v>
      </c>
      <c r="D43" s="12" t="s">
        <v>187</v>
      </c>
      <c r="F43" s="4">
        <v>1100903</v>
      </c>
      <c r="H43" s="7"/>
      <c r="I43" s="8"/>
      <c r="J43" s="8"/>
      <c r="K43" s="8"/>
    </row>
    <row r="44" spans="1:18" x14ac:dyDescent="0.15">
      <c r="A44" s="2">
        <v>1100903</v>
      </c>
      <c r="B44" s="20" t="s">
        <v>43</v>
      </c>
      <c r="C44" s="13" t="s">
        <v>222</v>
      </c>
      <c r="D44" s="17" t="s">
        <v>172</v>
      </c>
      <c r="F44" s="4">
        <v>1100904</v>
      </c>
      <c r="H44" s="16"/>
      <c r="I44" s="8"/>
      <c r="J44" s="8"/>
      <c r="K44" s="8"/>
    </row>
    <row r="45" spans="1:18" x14ac:dyDescent="0.15">
      <c r="A45" s="2">
        <v>1100904</v>
      </c>
      <c r="B45" s="20" t="s">
        <v>43</v>
      </c>
      <c r="C45" s="2" t="s">
        <v>48</v>
      </c>
      <c r="D45" s="17" t="s">
        <v>143</v>
      </c>
      <c r="F45" s="4">
        <v>1100906</v>
      </c>
      <c r="H45" s="7" t="s">
        <v>49</v>
      </c>
      <c r="I45" s="8"/>
      <c r="J45" s="8">
        <v>1100905</v>
      </c>
      <c r="K45" s="8"/>
    </row>
    <row r="46" spans="1:18" x14ac:dyDescent="0.15">
      <c r="A46" s="2">
        <v>1100905</v>
      </c>
      <c r="B46" s="20" t="s">
        <v>43</v>
      </c>
      <c r="C46" s="2" t="s">
        <v>50</v>
      </c>
      <c r="D46" s="17" t="s">
        <v>162</v>
      </c>
      <c r="F46" s="4">
        <v>1100903</v>
      </c>
      <c r="H46" s="7"/>
      <c r="I46" s="8"/>
      <c r="J46" s="8"/>
      <c r="K46" s="8"/>
    </row>
    <row r="47" spans="1:18" x14ac:dyDescent="0.15">
      <c r="A47" s="2">
        <v>1100906</v>
      </c>
      <c r="B47" s="20" t="s">
        <v>43</v>
      </c>
      <c r="C47" s="2" t="s">
        <v>51</v>
      </c>
      <c r="D47" s="3" t="s">
        <v>52</v>
      </c>
      <c r="F47" s="4">
        <v>1100907</v>
      </c>
      <c r="H47" s="7" t="s">
        <v>53</v>
      </c>
      <c r="I47" s="8"/>
      <c r="J47" s="8">
        <v>1100905</v>
      </c>
      <c r="K47" s="8"/>
      <c r="L47" s="3" t="s">
        <v>54</v>
      </c>
      <c r="N47" s="4">
        <v>1100905</v>
      </c>
      <c r="P47" s="7" t="s">
        <v>55</v>
      </c>
      <c r="R47" s="8">
        <v>1100905</v>
      </c>
    </row>
    <row r="48" spans="1:18" x14ac:dyDescent="0.15">
      <c r="A48" s="2">
        <v>1100907</v>
      </c>
      <c r="B48" s="20" t="s">
        <v>43</v>
      </c>
      <c r="C48" s="2" t="s">
        <v>56</v>
      </c>
      <c r="D48" s="3" t="s">
        <v>57</v>
      </c>
      <c r="F48" s="4">
        <v>1100908</v>
      </c>
      <c r="H48" s="7" t="s">
        <v>58</v>
      </c>
      <c r="I48" s="8"/>
      <c r="J48" s="8">
        <v>1100905</v>
      </c>
      <c r="K48" s="8"/>
      <c r="L48" s="3" t="s">
        <v>59</v>
      </c>
      <c r="N48" s="4">
        <v>1100905</v>
      </c>
      <c r="P48" s="7" t="s">
        <v>60</v>
      </c>
      <c r="R48" s="8">
        <v>1100905</v>
      </c>
    </row>
    <row r="49" spans="1:11" x14ac:dyDescent="0.15">
      <c r="A49" s="2">
        <v>1100908</v>
      </c>
      <c r="B49" s="20" t="s">
        <v>43</v>
      </c>
      <c r="C49" s="2" t="s">
        <v>61</v>
      </c>
      <c r="D49" s="17" t="s">
        <v>171</v>
      </c>
      <c r="F49" s="4">
        <v>1100909</v>
      </c>
      <c r="H49" s="18" t="s">
        <v>184</v>
      </c>
      <c r="I49" s="8"/>
      <c r="J49" s="8">
        <v>1100910</v>
      </c>
      <c r="K49" s="8"/>
    </row>
    <row r="50" spans="1:11" x14ac:dyDescent="0.15">
      <c r="A50" s="2">
        <v>1100909</v>
      </c>
      <c r="B50" s="20" t="s">
        <v>43</v>
      </c>
      <c r="C50" s="2" t="s">
        <v>62</v>
      </c>
      <c r="D50" s="17" t="s">
        <v>162</v>
      </c>
      <c r="E50" s="4">
        <v>1</v>
      </c>
      <c r="H50" s="7"/>
      <c r="I50" s="8"/>
      <c r="J50" s="8"/>
      <c r="K50" s="8"/>
    </row>
    <row r="51" spans="1:11" x14ac:dyDescent="0.15">
      <c r="A51" s="2">
        <v>1100910</v>
      </c>
      <c r="B51" s="20" t="s">
        <v>43</v>
      </c>
      <c r="C51" s="2" t="s">
        <v>63</v>
      </c>
      <c r="D51" s="12" t="s">
        <v>187</v>
      </c>
      <c r="F51" s="4">
        <v>1100911</v>
      </c>
      <c r="H51" s="7"/>
      <c r="I51" s="8"/>
      <c r="J51" s="8"/>
      <c r="K51" s="8"/>
    </row>
    <row r="52" spans="1:11" x14ac:dyDescent="0.15">
      <c r="A52" s="2">
        <v>1100911</v>
      </c>
      <c r="B52" s="20" t="s">
        <v>43</v>
      </c>
      <c r="C52" s="13" t="s">
        <v>223</v>
      </c>
      <c r="D52" s="12" t="s">
        <v>192</v>
      </c>
      <c r="F52" s="4">
        <v>1100912</v>
      </c>
      <c r="H52" s="7"/>
      <c r="I52" s="8"/>
      <c r="J52" s="8"/>
      <c r="K52" s="8"/>
    </row>
    <row r="53" spans="1:11" x14ac:dyDescent="0.15">
      <c r="A53" s="2">
        <v>1100912</v>
      </c>
      <c r="B53" s="20" t="s">
        <v>43</v>
      </c>
      <c r="C53" s="13" t="s">
        <v>193</v>
      </c>
      <c r="D53" s="12" t="s">
        <v>187</v>
      </c>
      <c r="F53" s="4">
        <v>1100909</v>
      </c>
      <c r="H53" s="7"/>
      <c r="I53" s="8"/>
      <c r="J53" s="8"/>
      <c r="K53" s="8"/>
    </row>
    <row r="54" spans="1:11" x14ac:dyDescent="0.15">
      <c r="A54" s="2">
        <v>1101000</v>
      </c>
      <c r="B54" s="20" t="s">
        <v>34</v>
      </c>
      <c r="C54" s="13" t="s">
        <v>194</v>
      </c>
      <c r="D54" s="17" t="s">
        <v>171</v>
      </c>
      <c r="F54" s="4">
        <v>1101001</v>
      </c>
      <c r="H54" s="7"/>
      <c r="I54" s="8"/>
      <c r="J54" s="8"/>
      <c r="K54" s="8"/>
    </row>
    <row r="55" spans="1:11" x14ac:dyDescent="0.15">
      <c r="A55" s="2">
        <v>1101001</v>
      </c>
      <c r="B55" s="20" t="s">
        <v>34</v>
      </c>
      <c r="C55" s="19" t="s">
        <v>283</v>
      </c>
      <c r="D55" s="17" t="s">
        <v>267</v>
      </c>
      <c r="F55" s="4">
        <v>1101002</v>
      </c>
      <c r="H55" s="7"/>
      <c r="I55" s="8"/>
      <c r="J55" s="8"/>
      <c r="K55" s="8"/>
    </row>
    <row r="56" spans="1:11" x14ac:dyDescent="0.15">
      <c r="A56" s="2">
        <v>1101002</v>
      </c>
      <c r="B56" s="20" t="s">
        <v>34</v>
      </c>
      <c r="C56" s="19" t="s">
        <v>284</v>
      </c>
      <c r="D56" s="17" t="s">
        <v>162</v>
      </c>
      <c r="E56" s="4">
        <v>1</v>
      </c>
      <c r="H56" s="18" t="s">
        <v>183</v>
      </c>
      <c r="I56" s="8">
        <v>2</v>
      </c>
      <c r="J56" s="8"/>
      <c r="K56" s="8"/>
    </row>
    <row r="57" spans="1:11" x14ac:dyDescent="0.15">
      <c r="A57" s="2">
        <v>1101100</v>
      </c>
      <c r="B57" s="20" t="s">
        <v>34</v>
      </c>
      <c r="C57" s="2" t="s">
        <v>64</v>
      </c>
      <c r="D57" s="3" t="s">
        <v>65</v>
      </c>
      <c r="F57" s="4">
        <v>1101101</v>
      </c>
      <c r="H57" s="7" t="s">
        <v>66</v>
      </c>
      <c r="I57" s="8">
        <v>2</v>
      </c>
      <c r="J57" s="8"/>
      <c r="K57" s="8"/>
    </row>
    <row r="58" spans="1:11" x14ac:dyDescent="0.15">
      <c r="A58" s="2">
        <v>1101101</v>
      </c>
      <c r="B58" s="20" t="s">
        <v>34</v>
      </c>
      <c r="C58" s="2" t="s">
        <v>67</v>
      </c>
      <c r="D58" s="17" t="s">
        <v>170</v>
      </c>
      <c r="E58" s="4">
        <v>1</v>
      </c>
      <c r="H58" s="18" t="s">
        <v>182</v>
      </c>
      <c r="I58" s="8">
        <v>2</v>
      </c>
      <c r="J58" s="8"/>
      <c r="K58" s="8"/>
    </row>
    <row r="59" spans="1:11" x14ac:dyDescent="0.15">
      <c r="A59" s="2">
        <v>1101110</v>
      </c>
      <c r="B59" s="20" t="s">
        <v>34</v>
      </c>
      <c r="C59" s="2" t="s">
        <v>68</v>
      </c>
      <c r="D59" s="17" t="s">
        <v>195</v>
      </c>
      <c r="F59" s="4">
        <v>1101111</v>
      </c>
      <c r="H59" s="18" t="s">
        <v>181</v>
      </c>
      <c r="I59" s="8">
        <v>2</v>
      </c>
      <c r="J59" s="8"/>
      <c r="K59" s="8"/>
    </row>
    <row r="60" spans="1:11" x14ac:dyDescent="0.15">
      <c r="A60" s="2">
        <v>1101111</v>
      </c>
      <c r="B60" s="20" t="s">
        <v>34</v>
      </c>
      <c r="C60" s="13" t="s">
        <v>196</v>
      </c>
      <c r="D60" s="12" t="s">
        <v>187</v>
      </c>
      <c r="F60" s="4">
        <v>1101112</v>
      </c>
      <c r="H60" s="7"/>
      <c r="I60" s="8"/>
      <c r="J60" s="8"/>
      <c r="K60" s="8"/>
    </row>
    <row r="61" spans="1:11" x14ac:dyDescent="0.15">
      <c r="A61" s="2">
        <v>1101112</v>
      </c>
      <c r="B61" s="20" t="s">
        <v>34</v>
      </c>
      <c r="C61" s="19" t="s">
        <v>288</v>
      </c>
      <c r="D61" s="3" t="s">
        <v>69</v>
      </c>
      <c r="E61" s="4">
        <v>1</v>
      </c>
      <c r="H61" s="7"/>
      <c r="I61" s="8"/>
      <c r="J61" s="8"/>
      <c r="K61" s="8"/>
    </row>
    <row r="62" spans="1:11" x14ac:dyDescent="0.15">
      <c r="A62" s="2">
        <v>1101150</v>
      </c>
      <c r="B62" s="20" t="s">
        <v>285</v>
      </c>
      <c r="C62" s="19" t="s">
        <v>291</v>
      </c>
      <c r="D62" s="17" t="s">
        <v>292</v>
      </c>
      <c r="F62" s="4">
        <v>1101151</v>
      </c>
      <c r="H62" s="7"/>
      <c r="I62" s="8"/>
      <c r="J62" s="8"/>
      <c r="K62" s="8"/>
    </row>
    <row r="63" spans="1:11" x14ac:dyDescent="0.15">
      <c r="A63" s="2">
        <v>1101151</v>
      </c>
      <c r="B63" s="20" t="s">
        <v>285</v>
      </c>
      <c r="C63" s="19" t="s">
        <v>293</v>
      </c>
      <c r="D63" s="17" t="s">
        <v>267</v>
      </c>
      <c r="F63" s="4">
        <v>1101152</v>
      </c>
      <c r="H63" s="7"/>
      <c r="I63" s="8"/>
      <c r="J63" s="8"/>
      <c r="K63" s="8"/>
    </row>
    <row r="64" spans="1:11" x14ac:dyDescent="0.15">
      <c r="A64" s="2">
        <v>1101152</v>
      </c>
      <c r="B64" s="20" t="s">
        <v>285</v>
      </c>
      <c r="C64" s="19" t="s">
        <v>295</v>
      </c>
      <c r="D64" s="17" t="s">
        <v>267</v>
      </c>
      <c r="F64" s="4">
        <v>1101153</v>
      </c>
      <c r="H64" s="18" t="s">
        <v>294</v>
      </c>
      <c r="I64" s="8"/>
      <c r="J64" s="8">
        <v>1101155</v>
      </c>
      <c r="K64" s="8"/>
    </row>
    <row r="65" spans="1:11" x14ac:dyDescent="0.15">
      <c r="A65" s="2">
        <v>1101153</v>
      </c>
      <c r="B65" s="20" t="s">
        <v>285</v>
      </c>
      <c r="C65" s="19" t="s">
        <v>296</v>
      </c>
      <c r="D65" s="17" t="s">
        <v>239</v>
      </c>
      <c r="F65" s="4">
        <v>1101154</v>
      </c>
      <c r="H65" s="7"/>
      <c r="I65" s="8"/>
      <c r="J65" s="8"/>
      <c r="K65" s="8"/>
    </row>
    <row r="66" spans="1:11" x14ac:dyDescent="0.15">
      <c r="A66" s="2">
        <v>1101154</v>
      </c>
      <c r="B66" s="20" t="s">
        <v>285</v>
      </c>
      <c r="C66" s="19" t="s">
        <v>297</v>
      </c>
      <c r="D66" s="17" t="s">
        <v>298</v>
      </c>
      <c r="E66" s="4">
        <v>1</v>
      </c>
      <c r="H66" s="7"/>
      <c r="I66" s="8"/>
      <c r="J66" s="8"/>
      <c r="K66" s="8"/>
    </row>
    <row r="67" spans="1:11" x14ac:dyDescent="0.15">
      <c r="A67" s="2">
        <v>1101155</v>
      </c>
      <c r="B67" s="20" t="s">
        <v>285</v>
      </c>
      <c r="C67" s="19" t="s">
        <v>299</v>
      </c>
      <c r="D67" s="17" t="s">
        <v>267</v>
      </c>
      <c r="F67" s="4">
        <v>1101153</v>
      </c>
      <c r="H67" s="7"/>
      <c r="I67" s="8"/>
      <c r="J67" s="8"/>
      <c r="K67" s="8"/>
    </row>
    <row r="68" spans="1:11" x14ac:dyDescent="0.15">
      <c r="A68" s="2">
        <v>1101200</v>
      </c>
      <c r="B68" s="20" t="s">
        <v>34</v>
      </c>
      <c r="C68" s="13" t="s">
        <v>228</v>
      </c>
      <c r="D68" s="17" t="s">
        <v>300</v>
      </c>
      <c r="F68" s="4">
        <v>1101201</v>
      </c>
      <c r="H68" s="18" t="s">
        <v>180</v>
      </c>
      <c r="I68" s="8">
        <v>2</v>
      </c>
      <c r="J68" s="8"/>
      <c r="K68" s="8"/>
    </row>
    <row r="69" spans="1:11" x14ac:dyDescent="0.15">
      <c r="A69" s="2">
        <v>1101201</v>
      </c>
      <c r="B69" s="20" t="s">
        <v>34</v>
      </c>
      <c r="C69" s="19" t="s">
        <v>301</v>
      </c>
      <c r="D69" s="3" t="s">
        <v>70</v>
      </c>
      <c r="F69" s="4">
        <v>1101202</v>
      </c>
      <c r="H69" s="7"/>
      <c r="I69" s="8"/>
      <c r="J69" s="8"/>
      <c r="K69" s="8"/>
    </row>
    <row r="70" spans="1:11" x14ac:dyDescent="0.15">
      <c r="A70" s="2">
        <v>1101202</v>
      </c>
      <c r="B70" s="20" t="s">
        <v>34</v>
      </c>
      <c r="C70" s="13" t="s">
        <v>197</v>
      </c>
      <c r="D70" s="17" t="s">
        <v>198</v>
      </c>
      <c r="F70" s="4">
        <v>1101203</v>
      </c>
      <c r="H70" s="7"/>
      <c r="I70" s="8"/>
      <c r="J70" s="8"/>
      <c r="K70" s="8"/>
    </row>
    <row r="71" spans="1:11" x14ac:dyDescent="0.15">
      <c r="A71" s="2">
        <v>1101203</v>
      </c>
      <c r="B71" s="20" t="s">
        <v>34</v>
      </c>
      <c r="C71" s="13" t="s">
        <v>199</v>
      </c>
      <c r="D71" s="12" t="s">
        <v>187</v>
      </c>
      <c r="F71" s="4">
        <v>1101204</v>
      </c>
      <c r="H71" s="7"/>
      <c r="I71" s="8"/>
      <c r="J71" s="8"/>
      <c r="K71" s="8"/>
    </row>
    <row r="72" spans="1:11" x14ac:dyDescent="0.15">
      <c r="A72" s="2">
        <v>1101204</v>
      </c>
      <c r="B72" s="20" t="s">
        <v>34</v>
      </c>
      <c r="C72" s="13" t="s">
        <v>227</v>
      </c>
      <c r="D72" s="12" t="s">
        <v>200</v>
      </c>
      <c r="F72" s="4">
        <v>1101205</v>
      </c>
      <c r="H72" s="7"/>
      <c r="I72" s="8"/>
      <c r="J72" s="8"/>
      <c r="K72" s="8"/>
    </row>
    <row r="73" spans="1:11" x14ac:dyDescent="0.15">
      <c r="A73" s="2">
        <v>1101205</v>
      </c>
      <c r="B73" s="20" t="s">
        <v>34</v>
      </c>
      <c r="C73" s="19" t="s">
        <v>302</v>
      </c>
      <c r="D73" s="17" t="s">
        <v>303</v>
      </c>
      <c r="F73" s="4">
        <v>1101206</v>
      </c>
      <c r="H73" s="7"/>
      <c r="I73" s="8"/>
      <c r="J73" s="8"/>
      <c r="K73" s="8"/>
    </row>
    <row r="74" spans="1:11" x14ac:dyDescent="0.15">
      <c r="A74" s="2">
        <v>1101206</v>
      </c>
      <c r="B74" s="20" t="s">
        <v>34</v>
      </c>
      <c r="C74" s="2" t="s">
        <v>71</v>
      </c>
      <c r="D74" s="17" t="s">
        <v>162</v>
      </c>
      <c r="E74" s="4">
        <v>1</v>
      </c>
      <c r="H74" s="7"/>
      <c r="I74" s="8"/>
      <c r="J74" s="8"/>
      <c r="K74" s="8"/>
    </row>
    <row r="75" spans="1:11" x14ac:dyDescent="0.15">
      <c r="A75" s="2">
        <v>1101400</v>
      </c>
      <c r="B75" s="20" t="s">
        <v>72</v>
      </c>
      <c r="C75" s="19" t="s">
        <v>304</v>
      </c>
      <c r="D75" s="17" t="s">
        <v>305</v>
      </c>
      <c r="F75" s="4">
        <v>1101401</v>
      </c>
      <c r="H75" s="7"/>
      <c r="I75" s="8"/>
      <c r="J75" s="8"/>
      <c r="K75" s="8"/>
    </row>
    <row r="76" spans="1:11" x14ac:dyDescent="0.15">
      <c r="A76" s="2">
        <v>1101401</v>
      </c>
      <c r="B76" s="20" t="s">
        <v>72</v>
      </c>
      <c r="C76" s="19" t="s">
        <v>308</v>
      </c>
      <c r="D76" s="17" t="s">
        <v>306</v>
      </c>
      <c r="E76" s="4">
        <v>1</v>
      </c>
      <c r="H76" s="16" t="s">
        <v>201</v>
      </c>
      <c r="I76" s="8">
        <v>2</v>
      </c>
      <c r="J76" s="8"/>
      <c r="K76" s="8"/>
    </row>
    <row r="77" spans="1:11" x14ac:dyDescent="0.15">
      <c r="A77" s="2">
        <v>1101450</v>
      </c>
      <c r="B77" s="20" t="s">
        <v>72</v>
      </c>
      <c r="C77" s="19" t="s">
        <v>307</v>
      </c>
      <c r="D77" s="17" t="s">
        <v>309</v>
      </c>
      <c r="E77" s="4">
        <v>1</v>
      </c>
      <c r="F77" s="4">
        <v>1101451</v>
      </c>
      <c r="H77" s="16"/>
      <c r="I77" s="8"/>
      <c r="J77" s="8"/>
      <c r="K77" s="8"/>
    </row>
    <row r="78" spans="1:11" x14ac:dyDescent="0.15">
      <c r="A78" s="2">
        <v>1101451</v>
      </c>
      <c r="B78" s="20" t="s">
        <v>72</v>
      </c>
      <c r="C78" s="19" t="s">
        <v>310</v>
      </c>
      <c r="D78" s="17" t="s">
        <v>162</v>
      </c>
      <c r="E78" s="4">
        <v>1</v>
      </c>
      <c r="H78" s="7"/>
      <c r="I78" s="8"/>
      <c r="J78" s="8"/>
      <c r="K78" s="8"/>
    </row>
    <row r="79" spans="1:11" x14ac:dyDescent="0.15">
      <c r="A79" s="2">
        <v>1101500</v>
      </c>
      <c r="B79" s="20" t="s">
        <v>72</v>
      </c>
      <c r="C79" s="2" t="s">
        <v>73</v>
      </c>
      <c r="D79" s="17" t="s">
        <v>311</v>
      </c>
      <c r="F79" s="4">
        <v>1101501</v>
      </c>
      <c r="H79" s="18" t="s">
        <v>179</v>
      </c>
      <c r="I79" s="8">
        <v>2</v>
      </c>
      <c r="J79" s="8"/>
      <c r="K79" s="8"/>
    </row>
    <row r="80" spans="1:11" x14ac:dyDescent="0.15">
      <c r="A80" s="2">
        <v>1101501</v>
      </c>
      <c r="B80" s="20" t="s">
        <v>72</v>
      </c>
      <c r="C80" s="2" t="s">
        <v>74</v>
      </c>
      <c r="D80" s="12" t="s">
        <v>187</v>
      </c>
      <c r="F80" s="4">
        <v>1101502</v>
      </c>
      <c r="H80" s="7"/>
      <c r="I80" s="8"/>
      <c r="J80" s="8"/>
      <c r="K80" s="8"/>
    </row>
    <row r="81" spans="1:11" x14ac:dyDescent="0.15">
      <c r="A81" s="2">
        <v>1101502</v>
      </c>
      <c r="B81" s="20" t="s">
        <v>72</v>
      </c>
      <c r="C81" s="2" t="s">
        <v>75</v>
      </c>
      <c r="D81" s="17" t="s">
        <v>162</v>
      </c>
      <c r="E81" s="4">
        <v>1</v>
      </c>
      <c r="H81" s="7"/>
      <c r="I81" s="8"/>
      <c r="J81" s="8"/>
      <c r="K81" s="8"/>
    </row>
    <row r="82" spans="1:11" x14ac:dyDescent="0.15">
      <c r="A82" s="2">
        <v>1101600</v>
      </c>
      <c r="B82" s="20" t="s">
        <v>72</v>
      </c>
      <c r="C82" s="2" t="s">
        <v>76</v>
      </c>
      <c r="D82" s="17" t="s">
        <v>319</v>
      </c>
      <c r="F82" s="4">
        <v>1101601</v>
      </c>
      <c r="H82" s="18" t="s">
        <v>179</v>
      </c>
      <c r="I82" s="8">
        <v>2</v>
      </c>
      <c r="J82" s="8"/>
      <c r="K82" s="8"/>
    </row>
    <row r="83" spans="1:11" x14ac:dyDescent="0.15">
      <c r="A83" s="2">
        <v>1101601</v>
      </c>
      <c r="B83" s="20" t="s">
        <v>72</v>
      </c>
      <c r="C83" s="2" t="s">
        <v>77</v>
      </c>
      <c r="D83" s="12" t="s">
        <v>187</v>
      </c>
      <c r="E83" s="4">
        <v>1</v>
      </c>
      <c r="H83" s="7"/>
      <c r="I83" s="8"/>
      <c r="J83" s="8"/>
      <c r="K83" s="8"/>
    </row>
    <row r="84" spans="1:11" x14ac:dyDescent="0.15">
      <c r="A84" s="2">
        <v>1101700</v>
      </c>
      <c r="B84" s="20" t="s">
        <v>43</v>
      </c>
      <c r="C84" s="2" t="s">
        <v>78</v>
      </c>
      <c r="D84" s="3" t="s">
        <v>79</v>
      </c>
      <c r="F84" s="4">
        <v>1101701</v>
      </c>
      <c r="H84" s="7"/>
      <c r="I84" s="8"/>
      <c r="J84" s="8"/>
      <c r="K84" s="8"/>
    </row>
    <row r="85" spans="1:11" x14ac:dyDescent="0.15">
      <c r="A85" s="2">
        <v>1101701</v>
      </c>
      <c r="B85" s="20" t="s">
        <v>43</v>
      </c>
      <c r="C85" s="2" t="s">
        <v>80</v>
      </c>
      <c r="D85" s="17" t="s">
        <v>306</v>
      </c>
      <c r="F85" s="4">
        <v>1101702</v>
      </c>
      <c r="H85" s="18" t="s">
        <v>312</v>
      </c>
      <c r="I85" s="8">
        <v>2</v>
      </c>
      <c r="J85" s="8"/>
      <c r="K85" s="8"/>
    </row>
    <row r="86" spans="1:11" x14ac:dyDescent="0.15">
      <c r="A86" s="2">
        <v>1101750</v>
      </c>
      <c r="B86" s="20" t="s">
        <v>43</v>
      </c>
      <c r="C86" s="19" t="s">
        <v>313</v>
      </c>
      <c r="D86" s="17" t="s">
        <v>309</v>
      </c>
      <c r="E86" s="4">
        <v>1</v>
      </c>
      <c r="F86" s="4">
        <v>1101751</v>
      </c>
      <c r="H86" s="18"/>
      <c r="I86" s="8"/>
      <c r="J86" s="8"/>
      <c r="K86" s="8"/>
    </row>
    <row r="87" spans="1:11" x14ac:dyDescent="0.15">
      <c r="A87" s="2">
        <v>1101751</v>
      </c>
      <c r="B87" s="20" t="s">
        <v>43</v>
      </c>
      <c r="C87" s="2" t="s">
        <v>81</v>
      </c>
      <c r="D87" s="17" t="s">
        <v>162</v>
      </c>
      <c r="E87" s="4">
        <v>1</v>
      </c>
      <c r="H87" s="7"/>
      <c r="I87" s="8"/>
      <c r="J87" s="8"/>
      <c r="K87" s="8"/>
    </row>
    <row r="88" spans="1:11" x14ac:dyDescent="0.15">
      <c r="A88" s="2">
        <v>1101800</v>
      </c>
      <c r="B88" s="20" t="s">
        <v>43</v>
      </c>
      <c r="C88" s="2" t="s">
        <v>82</v>
      </c>
      <c r="D88" s="17" t="s">
        <v>168</v>
      </c>
      <c r="F88" s="4">
        <v>1101801</v>
      </c>
      <c r="H88" s="18" t="s">
        <v>177</v>
      </c>
      <c r="I88" s="8">
        <v>2</v>
      </c>
      <c r="J88" s="8"/>
      <c r="K88" s="8"/>
    </row>
    <row r="89" spans="1:11" x14ac:dyDescent="0.15">
      <c r="A89" s="2">
        <v>1101801</v>
      </c>
      <c r="B89" s="20" t="s">
        <v>43</v>
      </c>
      <c r="C89" s="13" t="s">
        <v>202</v>
      </c>
      <c r="D89" s="17" t="s">
        <v>162</v>
      </c>
      <c r="E89" s="4">
        <v>1</v>
      </c>
      <c r="H89" s="7"/>
      <c r="I89" s="8"/>
      <c r="J89" s="8"/>
      <c r="K89" s="8"/>
    </row>
    <row r="90" spans="1:11" x14ac:dyDescent="0.15">
      <c r="A90" s="2">
        <v>1101900</v>
      </c>
      <c r="B90" s="20" t="s">
        <v>43</v>
      </c>
      <c r="C90" s="2" t="s">
        <v>83</v>
      </c>
      <c r="D90" s="17" t="s">
        <v>318</v>
      </c>
      <c r="F90" s="4">
        <v>1101901</v>
      </c>
      <c r="H90" s="18" t="s">
        <v>149</v>
      </c>
      <c r="I90" s="8">
        <v>2</v>
      </c>
      <c r="J90" s="8"/>
      <c r="K90" s="8"/>
    </row>
    <row r="91" spans="1:11" x14ac:dyDescent="0.15">
      <c r="A91" s="2">
        <v>1101901</v>
      </c>
      <c r="B91" s="20" t="s">
        <v>43</v>
      </c>
      <c r="C91" s="2" t="s">
        <v>84</v>
      </c>
      <c r="D91" s="17" t="s">
        <v>167</v>
      </c>
      <c r="E91" s="4">
        <v>1</v>
      </c>
      <c r="H91" s="18" t="s">
        <v>178</v>
      </c>
      <c r="I91" s="8">
        <v>1</v>
      </c>
      <c r="J91" s="8"/>
      <c r="K91" s="8"/>
    </row>
    <row r="92" spans="1:11" x14ac:dyDescent="0.15">
      <c r="A92" s="2">
        <v>1102000</v>
      </c>
      <c r="B92" s="20" t="s">
        <v>85</v>
      </c>
      <c r="C92" s="19" t="s">
        <v>314</v>
      </c>
      <c r="D92" s="17" t="s">
        <v>277</v>
      </c>
      <c r="F92" s="4">
        <v>1102001</v>
      </c>
      <c r="H92" s="18" t="s">
        <v>257</v>
      </c>
      <c r="I92" s="8"/>
      <c r="J92" s="8">
        <v>1102001</v>
      </c>
      <c r="K92" s="8"/>
    </row>
    <row r="93" spans="1:11" x14ac:dyDescent="0.15">
      <c r="A93" s="2">
        <v>1102001</v>
      </c>
      <c r="B93" s="20" t="s">
        <v>85</v>
      </c>
      <c r="C93" s="19" t="s">
        <v>266</v>
      </c>
      <c r="D93" s="12" t="s">
        <v>187</v>
      </c>
      <c r="F93" s="4">
        <v>1102002</v>
      </c>
      <c r="H93" s="7"/>
      <c r="I93" s="8"/>
      <c r="J93" s="8"/>
      <c r="K93" s="8"/>
    </row>
    <row r="94" spans="1:11" x14ac:dyDescent="0.15">
      <c r="A94" s="2">
        <v>1102002</v>
      </c>
      <c r="B94" s="20" t="s">
        <v>85</v>
      </c>
      <c r="C94" s="2" t="s">
        <v>86</v>
      </c>
      <c r="D94" s="12" t="s">
        <v>187</v>
      </c>
      <c r="F94" s="4">
        <v>1102003</v>
      </c>
      <c r="H94" s="7"/>
      <c r="I94" s="8"/>
      <c r="J94" s="8"/>
      <c r="K94" s="8"/>
    </row>
    <row r="95" spans="1:11" x14ac:dyDescent="0.15">
      <c r="A95" s="2">
        <v>1102003</v>
      </c>
      <c r="B95" s="20" t="s">
        <v>85</v>
      </c>
      <c r="C95" s="2" t="s">
        <v>87</v>
      </c>
      <c r="D95" s="17" t="s">
        <v>315</v>
      </c>
      <c r="F95" s="4">
        <v>1102004</v>
      </c>
      <c r="H95" s="7" t="s">
        <v>88</v>
      </c>
      <c r="I95" s="8">
        <v>2</v>
      </c>
      <c r="J95" s="8"/>
      <c r="K95" s="8"/>
    </row>
    <row r="96" spans="1:11" x14ac:dyDescent="0.15">
      <c r="A96" s="2">
        <v>1102050</v>
      </c>
      <c r="B96" s="20" t="s">
        <v>85</v>
      </c>
      <c r="C96" s="19" t="s">
        <v>316</v>
      </c>
      <c r="D96" s="17" t="s">
        <v>317</v>
      </c>
      <c r="F96" s="4">
        <v>1102051</v>
      </c>
      <c r="H96" s="7"/>
      <c r="I96" s="8"/>
      <c r="J96" s="8"/>
      <c r="K96" s="8"/>
    </row>
    <row r="97" spans="1:11" x14ac:dyDescent="0.15">
      <c r="A97" s="2">
        <v>1102051</v>
      </c>
      <c r="B97" s="20" t="s">
        <v>85</v>
      </c>
      <c r="C97" s="2" t="s">
        <v>89</v>
      </c>
      <c r="D97" s="17" t="s">
        <v>162</v>
      </c>
      <c r="E97" s="4">
        <v>1</v>
      </c>
      <c r="H97" s="7"/>
      <c r="I97" s="8"/>
      <c r="J97" s="8"/>
      <c r="K97" s="8"/>
    </row>
    <row r="98" spans="1:11" x14ac:dyDescent="0.15">
      <c r="A98" s="2">
        <v>1102100</v>
      </c>
      <c r="B98" s="20" t="s">
        <v>85</v>
      </c>
      <c r="C98" s="19" t="s">
        <v>186</v>
      </c>
      <c r="D98" s="17" t="s">
        <v>166</v>
      </c>
      <c r="F98" s="4">
        <v>1102101</v>
      </c>
      <c r="H98" s="18" t="s">
        <v>177</v>
      </c>
      <c r="I98" s="8">
        <v>2</v>
      </c>
      <c r="J98" s="8"/>
      <c r="K98" s="8"/>
    </row>
    <row r="99" spans="1:11" x14ac:dyDescent="0.15">
      <c r="A99" s="2">
        <v>1102101</v>
      </c>
      <c r="B99" s="20" t="s">
        <v>85</v>
      </c>
      <c r="C99" s="2" t="s">
        <v>90</v>
      </c>
      <c r="D99" s="12" t="s">
        <v>187</v>
      </c>
      <c r="F99" s="4">
        <v>1102102</v>
      </c>
      <c r="H99" s="7"/>
      <c r="I99" s="8"/>
      <c r="J99" s="8"/>
      <c r="K99" s="8"/>
    </row>
    <row r="100" spans="1:11" x14ac:dyDescent="0.15">
      <c r="A100" s="2">
        <v>1102102</v>
      </c>
      <c r="B100" s="20" t="s">
        <v>85</v>
      </c>
      <c r="C100" s="2" t="s">
        <v>91</v>
      </c>
      <c r="D100" s="17" t="s">
        <v>162</v>
      </c>
      <c r="E100" s="4">
        <v>1</v>
      </c>
      <c r="H100" s="18" t="s">
        <v>176</v>
      </c>
      <c r="I100" s="8"/>
      <c r="J100" s="8">
        <v>1102103</v>
      </c>
      <c r="K100" s="8"/>
    </row>
    <row r="101" spans="1:11" x14ac:dyDescent="0.15">
      <c r="A101" s="2">
        <v>1102103</v>
      </c>
      <c r="B101" s="20" t="s">
        <v>85</v>
      </c>
      <c r="C101" s="2" t="s">
        <v>92</v>
      </c>
      <c r="D101" s="17" t="s">
        <v>162</v>
      </c>
      <c r="E101" s="4">
        <v>1</v>
      </c>
      <c r="H101" s="18" t="s">
        <v>175</v>
      </c>
      <c r="I101" s="8"/>
      <c r="J101" s="8">
        <v>1102104</v>
      </c>
      <c r="K101" s="8"/>
    </row>
    <row r="102" spans="1:11" x14ac:dyDescent="0.15">
      <c r="A102" s="2">
        <v>1102104</v>
      </c>
      <c r="B102" s="20" t="s">
        <v>85</v>
      </c>
      <c r="C102" s="2" t="s">
        <v>93</v>
      </c>
      <c r="D102" s="17" t="s">
        <v>165</v>
      </c>
      <c r="E102" s="4">
        <v>1</v>
      </c>
      <c r="H102" s="18" t="s">
        <v>164</v>
      </c>
      <c r="I102" s="8"/>
      <c r="J102" s="8">
        <v>1102105</v>
      </c>
      <c r="K102" s="8"/>
    </row>
    <row r="103" spans="1:11" x14ac:dyDescent="0.15">
      <c r="A103" s="2">
        <v>1102105</v>
      </c>
      <c r="B103" s="20" t="s">
        <v>85</v>
      </c>
      <c r="C103" s="2" t="s">
        <v>94</v>
      </c>
      <c r="D103" s="17" t="s">
        <v>164</v>
      </c>
      <c r="F103" s="4">
        <v>1102106</v>
      </c>
      <c r="H103" s="7"/>
      <c r="I103" s="8"/>
      <c r="J103" s="8"/>
      <c r="K103" s="8"/>
    </row>
    <row r="104" spans="1:11" x14ac:dyDescent="0.15">
      <c r="A104" s="2">
        <v>1102106</v>
      </c>
      <c r="B104" s="20" t="s">
        <v>85</v>
      </c>
      <c r="C104" s="2" t="s">
        <v>95</v>
      </c>
      <c r="D104" s="17" t="s">
        <v>158</v>
      </c>
      <c r="F104" s="4">
        <v>1102107</v>
      </c>
      <c r="H104" s="7"/>
      <c r="I104" s="8"/>
      <c r="J104" s="8"/>
      <c r="K104" s="8"/>
    </row>
    <row r="105" spans="1:11" x14ac:dyDescent="0.15">
      <c r="A105" s="2">
        <v>1102107</v>
      </c>
      <c r="B105" s="20" t="s">
        <v>215</v>
      </c>
      <c r="C105" s="2" t="s">
        <v>96</v>
      </c>
      <c r="D105" s="12" t="s">
        <v>187</v>
      </c>
      <c r="E105" s="4">
        <v>1</v>
      </c>
      <c r="H105" s="7"/>
      <c r="I105" s="8"/>
      <c r="J105" s="8"/>
      <c r="K105" s="8"/>
    </row>
    <row r="106" spans="1:11" x14ac:dyDescent="0.15">
      <c r="A106" s="2">
        <v>1102200</v>
      </c>
      <c r="B106" s="20" t="s">
        <v>85</v>
      </c>
      <c r="C106" s="2" t="s">
        <v>97</v>
      </c>
      <c r="D106" s="17" t="s">
        <v>154</v>
      </c>
      <c r="F106" s="4">
        <v>1102201</v>
      </c>
      <c r="H106" s="18" t="s">
        <v>146</v>
      </c>
      <c r="I106" s="8">
        <v>2</v>
      </c>
      <c r="J106" s="8"/>
      <c r="K106" s="8"/>
    </row>
    <row r="107" spans="1:11" x14ac:dyDescent="0.15">
      <c r="A107" s="2">
        <v>1102201</v>
      </c>
      <c r="B107" s="20" t="s">
        <v>85</v>
      </c>
      <c r="C107" s="2" t="s">
        <v>98</v>
      </c>
      <c r="D107" s="12" t="s">
        <v>187</v>
      </c>
      <c r="E107" s="4">
        <v>1</v>
      </c>
      <c r="H107" s="7"/>
      <c r="I107" s="8"/>
      <c r="J107" s="8"/>
      <c r="K107" s="8"/>
    </row>
    <row r="108" spans="1:11" x14ac:dyDescent="0.15">
      <c r="A108" s="2">
        <v>1102300</v>
      </c>
      <c r="B108" s="20" t="s">
        <v>99</v>
      </c>
      <c r="C108" s="13" t="s">
        <v>211</v>
      </c>
      <c r="D108" s="17" t="s">
        <v>163</v>
      </c>
      <c r="F108" s="4">
        <v>1102301</v>
      </c>
      <c r="H108" s="7"/>
      <c r="I108" s="8"/>
      <c r="J108" s="8"/>
      <c r="K108" s="8"/>
    </row>
    <row r="109" spans="1:11" x14ac:dyDescent="0.15">
      <c r="A109" s="2">
        <v>1102301</v>
      </c>
      <c r="B109" s="20" t="s">
        <v>99</v>
      </c>
      <c r="C109" s="13" t="s">
        <v>203</v>
      </c>
      <c r="D109" s="12" t="s">
        <v>187</v>
      </c>
      <c r="F109" s="4">
        <v>1102302</v>
      </c>
      <c r="H109" s="7"/>
      <c r="I109" s="8"/>
      <c r="J109" s="8"/>
      <c r="K109" s="8"/>
    </row>
    <row r="110" spans="1:11" x14ac:dyDescent="0.15">
      <c r="A110" s="2">
        <v>1102302</v>
      </c>
      <c r="B110" s="20" t="s">
        <v>99</v>
      </c>
      <c r="C110" s="13" t="s">
        <v>209</v>
      </c>
      <c r="D110" s="17" t="s">
        <v>210</v>
      </c>
      <c r="E110" s="4">
        <v>1</v>
      </c>
      <c r="H110" s="16" t="s">
        <v>221</v>
      </c>
      <c r="I110" s="8">
        <v>2</v>
      </c>
      <c r="J110" s="8"/>
      <c r="K110" s="8"/>
    </row>
    <row r="111" spans="1:11" x14ac:dyDescent="0.15">
      <c r="A111" s="2">
        <v>1102310</v>
      </c>
      <c r="B111" s="20" t="s">
        <v>99</v>
      </c>
      <c r="C111" s="19" t="s">
        <v>229</v>
      </c>
      <c r="D111" s="12" t="s">
        <v>212</v>
      </c>
      <c r="E111" s="4">
        <v>1</v>
      </c>
      <c r="F111" s="4">
        <v>1102311</v>
      </c>
      <c r="H111" s="7"/>
      <c r="I111" s="8"/>
      <c r="J111" s="8"/>
      <c r="K111" s="8"/>
    </row>
    <row r="112" spans="1:11" x14ac:dyDescent="0.15">
      <c r="A112" s="2">
        <v>1102311</v>
      </c>
      <c r="B112" s="20" t="s">
        <v>99</v>
      </c>
      <c r="C112" s="13" t="s">
        <v>213</v>
      </c>
      <c r="D112" s="12" t="s">
        <v>187</v>
      </c>
      <c r="F112" s="4">
        <v>1102312</v>
      </c>
      <c r="H112" s="7"/>
      <c r="I112" s="8"/>
      <c r="J112" s="8"/>
      <c r="K112" s="8"/>
    </row>
    <row r="113" spans="1:12" x14ac:dyDescent="0.15">
      <c r="A113" s="2">
        <v>1102312</v>
      </c>
      <c r="B113" s="20" t="s">
        <v>99</v>
      </c>
      <c r="C113" s="13" t="s">
        <v>218</v>
      </c>
      <c r="D113" s="17" t="s">
        <v>162</v>
      </c>
      <c r="E113" s="4">
        <v>1</v>
      </c>
      <c r="H113" s="7"/>
      <c r="I113" s="8"/>
      <c r="J113" s="8"/>
      <c r="K113" s="8"/>
    </row>
    <row r="114" spans="1:12" x14ac:dyDescent="0.15">
      <c r="A114" s="2">
        <v>1102350</v>
      </c>
      <c r="B114" s="20" t="s">
        <v>99</v>
      </c>
      <c r="C114" s="13" t="s">
        <v>224</v>
      </c>
      <c r="D114" s="17" t="s">
        <v>219</v>
      </c>
      <c r="F114" s="4">
        <v>1102351</v>
      </c>
      <c r="H114" s="7" t="s">
        <v>220</v>
      </c>
      <c r="I114" s="8">
        <v>2</v>
      </c>
      <c r="J114" s="8"/>
      <c r="K114" s="8"/>
    </row>
    <row r="115" spans="1:12" x14ac:dyDescent="0.15">
      <c r="A115" s="2">
        <v>1102351</v>
      </c>
      <c r="B115" s="20" t="s">
        <v>99</v>
      </c>
      <c r="C115" s="13" t="s">
        <v>225</v>
      </c>
      <c r="D115" s="17" t="s">
        <v>208</v>
      </c>
      <c r="F115" s="4">
        <v>1102352</v>
      </c>
      <c r="H115" s="7"/>
      <c r="I115" s="8"/>
      <c r="J115" s="8"/>
      <c r="K115" s="8"/>
    </row>
    <row r="116" spans="1:12" x14ac:dyDescent="0.15">
      <c r="A116" s="2">
        <v>1102352</v>
      </c>
      <c r="B116" s="20" t="s">
        <v>99</v>
      </c>
      <c r="C116" s="13" t="s">
        <v>226</v>
      </c>
      <c r="D116" s="17" t="s">
        <v>217</v>
      </c>
      <c r="E116" s="4">
        <v>1</v>
      </c>
      <c r="H116" s="7"/>
      <c r="I116" s="8"/>
      <c r="J116" s="8"/>
      <c r="K116" s="8"/>
    </row>
    <row r="117" spans="1:12" x14ac:dyDescent="0.15">
      <c r="A117" s="2">
        <v>1102400</v>
      </c>
      <c r="B117" s="20" t="s">
        <v>99</v>
      </c>
      <c r="C117" s="19" t="s">
        <v>230</v>
      </c>
      <c r="D117" s="17" t="s">
        <v>231</v>
      </c>
      <c r="E117" s="4">
        <v>1</v>
      </c>
      <c r="F117" s="4">
        <v>1102401</v>
      </c>
      <c r="H117" s="16" t="s">
        <v>150</v>
      </c>
      <c r="I117" s="8">
        <v>2</v>
      </c>
      <c r="J117" s="8"/>
      <c r="K117" s="8"/>
    </row>
    <row r="118" spans="1:12" x14ac:dyDescent="0.15">
      <c r="A118" s="2">
        <v>1102401</v>
      </c>
      <c r="B118" s="20" t="s">
        <v>99</v>
      </c>
      <c r="C118" s="13" t="s">
        <v>214</v>
      </c>
      <c r="D118" s="12" t="s">
        <v>216</v>
      </c>
      <c r="E118" s="4">
        <v>2</v>
      </c>
      <c r="H118" s="7"/>
      <c r="I118" s="8"/>
      <c r="J118" s="8"/>
      <c r="K118" s="8"/>
    </row>
    <row r="119" spans="1:12" x14ac:dyDescent="0.15">
      <c r="A119" s="2">
        <v>1102410</v>
      </c>
      <c r="B119" s="20" t="s">
        <v>99</v>
      </c>
      <c r="C119" s="13" t="s">
        <v>204</v>
      </c>
      <c r="D119" s="12" t="s">
        <v>187</v>
      </c>
      <c r="F119" s="4">
        <v>1102411</v>
      </c>
      <c r="H119" s="7"/>
      <c r="I119" s="8"/>
      <c r="J119" s="8"/>
      <c r="K119" s="8"/>
    </row>
    <row r="120" spans="1:12" x14ac:dyDescent="0.15">
      <c r="A120" s="2">
        <v>1102411</v>
      </c>
      <c r="B120" s="20" t="s">
        <v>99</v>
      </c>
      <c r="C120" s="13" t="s">
        <v>205</v>
      </c>
      <c r="D120" s="17" t="s">
        <v>232</v>
      </c>
      <c r="E120" s="4">
        <v>1</v>
      </c>
      <c r="H120" s="16"/>
      <c r="I120" s="8"/>
      <c r="J120" s="8"/>
      <c r="K120" s="8"/>
    </row>
    <row r="121" spans="1:12" x14ac:dyDescent="0.15">
      <c r="A121" s="2">
        <v>1102450</v>
      </c>
      <c r="B121" s="20" t="s">
        <v>233</v>
      </c>
      <c r="C121" s="19" t="s">
        <v>234</v>
      </c>
      <c r="D121" s="17" t="s">
        <v>235</v>
      </c>
      <c r="E121" s="4">
        <v>1</v>
      </c>
      <c r="F121" s="4">
        <v>1102451</v>
      </c>
      <c r="H121" s="16"/>
      <c r="I121" s="8"/>
      <c r="J121" s="8"/>
      <c r="K121" s="8"/>
    </row>
    <row r="122" spans="1:12" x14ac:dyDescent="0.15">
      <c r="A122" s="2">
        <v>1102451</v>
      </c>
      <c r="B122" s="20" t="s">
        <v>233</v>
      </c>
      <c r="C122" s="19" t="s">
        <v>334</v>
      </c>
      <c r="D122" s="17" t="s">
        <v>239</v>
      </c>
      <c r="E122" s="4">
        <v>1</v>
      </c>
      <c r="H122" s="16"/>
      <c r="I122" s="8"/>
      <c r="J122" s="8"/>
      <c r="K122" s="8"/>
    </row>
    <row r="123" spans="1:12" x14ac:dyDescent="0.15">
      <c r="A123" s="2">
        <v>1102480</v>
      </c>
      <c r="B123" s="20" t="s">
        <v>233</v>
      </c>
      <c r="C123" s="19" t="s">
        <v>335</v>
      </c>
      <c r="D123" s="17" t="s">
        <v>336</v>
      </c>
      <c r="F123" s="4">
        <v>1102481</v>
      </c>
      <c r="H123" s="16"/>
      <c r="I123" s="8"/>
      <c r="J123" s="8"/>
      <c r="K123" s="8"/>
    </row>
    <row r="124" spans="1:12" x14ac:dyDescent="0.15">
      <c r="A124" s="2">
        <v>1102481</v>
      </c>
      <c r="B124" s="20" t="s">
        <v>99</v>
      </c>
      <c r="C124" s="19" t="s">
        <v>337</v>
      </c>
      <c r="D124" s="17" t="s">
        <v>277</v>
      </c>
      <c r="F124" s="4">
        <v>1102482</v>
      </c>
      <c r="H124" s="18"/>
      <c r="I124" s="8"/>
      <c r="J124" s="8"/>
      <c r="K124" s="8"/>
      <c r="L124" s="17"/>
    </row>
    <row r="125" spans="1:12" x14ac:dyDescent="0.15">
      <c r="A125" s="2">
        <v>1102482</v>
      </c>
      <c r="B125" s="20" t="s">
        <v>233</v>
      </c>
      <c r="C125" s="19" t="s">
        <v>338</v>
      </c>
      <c r="D125" s="17" t="s">
        <v>339</v>
      </c>
      <c r="E125" s="4">
        <v>1</v>
      </c>
      <c r="H125" s="18" t="s">
        <v>340</v>
      </c>
      <c r="I125" s="8"/>
      <c r="J125" s="8">
        <v>1102483</v>
      </c>
      <c r="K125" s="8"/>
      <c r="L125" s="17"/>
    </row>
    <row r="126" spans="1:12" x14ac:dyDescent="0.15">
      <c r="A126" s="2">
        <v>1102483</v>
      </c>
      <c r="B126" s="20" t="s">
        <v>99</v>
      </c>
      <c r="C126" s="13" t="s">
        <v>206</v>
      </c>
      <c r="D126" s="12" t="s">
        <v>187</v>
      </c>
      <c r="F126" s="4">
        <v>1102484</v>
      </c>
      <c r="H126" s="7"/>
      <c r="I126" s="8"/>
      <c r="J126" s="8"/>
      <c r="K126" s="8"/>
    </row>
    <row r="127" spans="1:12" x14ac:dyDescent="0.15">
      <c r="A127" s="2">
        <v>1102484</v>
      </c>
      <c r="B127" s="20" t="s">
        <v>99</v>
      </c>
      <c r="C127" s="13" t="s">
        <v>207</v>
      </c>
      <c r="D127" s="12" t="s">
        <v>158</v>
      </c>
      <c r="E127" s="4">
        <v>1</v>
      </c>
      <c r="H127" s="16"/>
      <c r="I127" s="8"/>
      <c r="J127" s="8"/>
      <c r="K127" s="8"/>
    </row>
    <row r="128" spans="1:12" x14ac:dyDescent="0.15">
      <c r="A128" s="2">
        <v>1102500</v>
      </c>
      <c r="B128" s="20" t="s">
        <v>99</v>
      </c>
      <c r="C128" s="2" t="s">
        <v>100</v>
      </c>
      <c r="D128" s="17" t="s">
        <v>236</v>
      </c>
      <c r="E128" s="4">
        <v>1</v>
      </c>
      <c r="F128" s="4">
        <v>1102501</v>
      </c>
      <c r="H128" s="16" t="s">
        <v>149</v>
      </c>
      <c r="I128" s="8">
        <v>2</v>
      </c>
      <c r="J128" s="8"/>
      <c r="K128" s="8"/>
    </row>
    <row r="129" spans="1:11" x14ac:dyDescent="0.15">
      <c r="A129" s="2">
        <v>1102501</v>
      </c>
      <c r="B129" s="20" t="s">
        <v>99</v>
      </c>
      <c r="C129" s="2" t="s">
        <v>101</v>
      </c>
      <c r="D129" s="12" t="s">
        <v>208</v>
      </c>
      <c r="E129" s="4">
        <v>2</v>
      </c>
      <c r="H129" s="7"/>
      <c r="I129" s="8"/>
      <c r="J129" s="8"/>
      <c r="K129" s="8"/>
    </row>
    <row r="130" spans="1:11" x14ac:dyDescent="0.15">
      <c r="A130" s="2">
        <v>1102600</v>
      </c>
      <c r="B130" s="20" t="s">
        <v>99</v>
      </c>
      <c r="C130" s="19" t="s">
        <v>238</v>
      </c>
      <c r="D130" s="17" t="s">
        <v>239</v>
      </c>
      <c r="E130" s="4">
        <v>1</v>
      </c>
      <c r="H130" s="18" t="s">
        <v>240</v>
      </c>
      <c r="I130" s="8">
        <v>2</v>
      </c>
      <c r="J130" s="8"/>
      <c r="K130" s="8"/>
    </row>
    <row r="131" spans="1:11" x14ac:dyDescent="0.15">
      <c r="A131" s="2">
        <v>1102650</v>
      </c>
      <c r="B131" s="20" t="s">
        <v>99</v>
      </c>
      <c r="C131" s="19" t="s">
        <v>241</v>
      </c>
      <c r="D131" s="3" t="s">
        <v>102</v>
      </c>
      <c r="E131" s="4">
        <v>1</v>
      </c>
      <c r="F131" s="4">
        <v>1102651</v>
      </c>
      <c r="H131" s="16" t="s">
        <v>148</v>
      </c>
      <c r="I131" s="8"/>
      <c r="J131" s="8">
        <v>1102652</v>
      </c>
      <c r="K131" s="8"/>
    </row>
    <row r="132" spans="1:11" x14ac:dyDescent="0.15">
      <c r="A132" s="2">
        <v>1102651</v>
      </c>
      <c r="B132" s="20" t="s">
        <v>99</v>
      </c>
      <c r="C132" s="2" t="s">
        <v>103</v>
      </c>
      <c r="D132" s="12" t="s">
        <v>158</v>
      </c>
      <c r="E132" s="4">
        <v>1</v>
      </c>
      <c r="H132" s="7"/>
      <c r="I132" s="8"/>
      <c r="J132" s="8"/>
      <c r="K132" s="8"/>
    </row>
    <row r="133" spans="1:11" x14ac:dyDescent="0.15">
      <c r="A133" s="2">
        <v>1102652</v>
      </c>
      <c r="B133" s="20" t="s">
        <v>99</v>
      </c>
      <c r="C133" s="2" t="s">
        <v>104</v>
      </c>
      <c r="D133" s="12" t="s">
        <v>157</v>
      </c>
      <c r="E133" s="4">
        <v>1</v>
      </c>
      <c r="H133" s="16"/>
      <c r="I133" s="8"/>
      <c r="J133" s="8"/>
      <c r="K133" s="8"/>
    </row>
    <row r="134" spans="1:11" x14ac:dyDescent="0.15">
      <c r="A134" s="2">
        <v>1102700</v>
      </c>
      <c r="B134" s="20" t="s">
        <v>99</v>
      </c>
      <c r="C134" s="19" t="s">
        <v>237</v>
      </c>
      <c r="D134" s="12" t="s">
        <v>156</v>
      </c>
      <c r="F134" s="4">
        <v>1102601</v>
      </c>
      <c r="H134" s="16" t="s">
        <v>147</v>
      </c>
      <c r="I134" s="8">
        <v>2</v>
      </c>
      <c r="J134" s="8"/>
      <c r="K134" s="8"/>
    </row>
    <row r="135" spans="1:11" x14ac:dyDescent="0.15">
      <c r="A135" s="2">
        <v>1102701</v>
      </c>
      <c r="B135" s="20" t="s">
        <v>99</v>
      </c>
      <c r="C135" s="19" t="s">
        <v>242</v>
      </c>
      <c r="D135" s="12" t="s">
        <v>155</v>
      </c>
      <c r="E135" s="4">
        <v>1</v>
      </c>
      <c r="H135" s="7"/>
      <c r="I135" s="8"/>
      <c r="J135" s="8"/>
      <c r="K135" s="8"/>
    </row>
    <row r="136" spans="1:11" x14ac:dyDescent="0.15">
      <c r="A136" s="2">
        <v>1102800</v>
      </c>
      <c r="B136" s="20" t="s">
        <v>99</v>
      </c>
      <c r="C136" s="2" t="s">
        <v>105</v>
      </c>
      <c r="D136" s="17" t="s">
        <v>243</v>
      </c>
      <c r="F136" s="4">
        <v>1102701</v>
      </c>
      <c r="H136" s="16" t="s">
        <v>146</v>
      </c>
      <c r="I136" s="8">
        <v>2</v>
      </c>
      <c r="J136" s="8"/>
      <c r="K136" s="8"/>
    </row>
    <row r="137" spans="1:11" x14ac:dyDescent="0.15">
      <c r="A137" s="2">
        <v>1102801</v>
      </c>
      <c r="B137" s="20" t="s">
        <v>99</v>
      </c>
      <c r="C137" s="2" t="s">
        <v>106</v>
      </c>
      <c r="D137" s="12" t="s">
        <v>187</v>
      </c>
      <c r="F137" s="4">
        <v>1102702</v>
      </c>
      <c r="H137" s="16" t="s">
        <v>145</v>
      </c>
      <c r="I137" s="8"/>
      <c r="J137" s="8">
        <v>1102702</v>
      </c>
      <c r="K137" s="8"/>
    </row>
    <row r="138" spans="1:11" x14ac:dyDescent="0.15">
      <c r="A138" s="2">
        <v>1102802</v>
      </c>
      <c r="B138" s="20" t="s">
        <v>99</v>
      </c>
      <c r="C138" s="2" t="s">
        <v>107</v>
      </c>
      <c r="D138" s="12" t="s">
        <v>187</v>
      </c>
      <c r="F138" s="4">
        <v>1102703</v>
      </c>
      <c r="H138" s="7"/>
      <c r="I138" s="8"/>
      <c r="J138" s="8"/>
      <c r="K138" s="8"/>
    </row>
    <row r="139" spans="1:11" x14ac:dyDescent="0.15">
      <c r="A139" s="2">
        <v>1102803</v>
      </c>
      <c r="B139" s="20" t="s">
        <v>99</v>
      </c>
      <c r="C139" s="2" t="s">
        <v>108</v>
      </c>
      <c r="D139" s="12" t="s">
        <v>187</v>
      </c>
      <c r="F139" s="4">
        <v>1102704</v>
      </c>
      <c r="H139" s="7"/>
      <c r="I139" s="8"/>
      <c r="J139" s="8"/>
      <c r="K139" s="8"/>
    </row>
    <row r="140" spans="1:11" x14ac:dyDescent="0.15">
      <c r="A140" s="2">
        <v>1102804</v>
      </c>
      <c r="B140" s="20" t="s">
        <v>99</v>
      </c>
      <c r="C140" s="2" t="s">
        <v>109</v>
      </c>
      <c r="D140" s="12" t="s">
        <v>153</v>
      </c>
      <c r="F140" s="4">
        <v>1102705</v>
      </c>
      <c r="H140" s="7"/>
      <c r="I140" s="8"/>
      <c r="J140" s="8"/>
      <c r="K140" s="8"/>
    </row>
    <row r="141" spans="1:11" x14ac:dyDescent="0.15">
      <c r="A141" s="2">
        <v>1102805</v>
      </c>
      <c r="B141" s="20" t="s">
        <v>99</v>
      </c>
      <c r="C141" s="2" t="s">
        <v>110</v>
      </c>
      <c r="D141" s="12" t="s">
        <v>187</v>
      </c>
      <c r="E141" s="4">
        <v>1</v>
      </c>
      <c r="H141" s="7"/>
      <c r="I141" s="8"/>
      <c r="J141" s="8"/>
      <c r="K141" s="8"/>
    </row>
    <row r="142" spans="1:11" x14ac:dyDescent="0.15">
      <c r="A142" s="2">
        <v>1102900</v>
      </c>
      <c r="B142" s="20" t="s">
        <v>285</v>
      </c>
      <c r="C142" s="19" t="s">
        <v>320</v>
      </c>
      <c r="D142" s="17" t="s">
        <v>321</v>
      </c>
      <c r="F142" s="4">
        <v>1102901</v>
      </c>
      <c r="H142" s="18" t="s">
        <v>287</v>
      </c>
      <c r="I142" s="8">
        <v>2</v>
      </c>
      <c r="J142" s="8"/>
      <c r="K142" s="8"/>
    </row>
    <row r="143" spans="1:11" x14ac:dyDescent="0.15">
      <c r="A143" s="2">
        <v>1102901</v>
      </c>
      <c r="B143" s="20" t="s">
        <v>285</v>
      </c>
      <c r="C143" s="19" t="s">
        <v>322</v>
      </c>
      <c r="D143" s="17" t="s">
        <v>239</v>
      </c>
      <c r="E143" s="4">
        <v>1</v>
      </c>
      <c r="H143" s="18" t="s">
        <v>323</v>
      </c>
      <c r="I143" s="8">
        <v>2</v>
      </c>
      <c r="J143" s="8"/>
      <c r="K143" s="8"/>
    </row>
    <row r="144" spans="1:11" x14ac:dyDescent="0.15">
      <c r="A144" s="2">
        <v>1103000</v>
      </c>
      <c r="B144" s="20" t="s">
        <v>285</v>
      </c>
      <c r="C144" s="19" t="s">
        <v>324</v>
      </c>
      <c r="D144" s="17" t="s">
        <v>325</v>
      </c>
      <c r="E144" s="4">
        <v>1</v>
      </c>
      <c r="F144" s="4">
        <v>1103001</v>
      </c>
      <c r="H144" s="7"/>
      <c r="I144" s="8"/>
      <c r="J144" s="8"/>
      <c r="K144" s="8"/>
    </row>
    <row r="145" spans="1:19" x14ac:dyDescent="0.15">
      <c r="A145" s="2">
        <v>1103001</v>
      </c>
      <c r="B145" s="20" t="s">
        <v>285</v>
      </c>
      <c r="C145" s="19" t="s">
        <v>326</v>
      </c>
      <c r="D145" s="17" t="s">
        <v>267</v>
      </c>
      <c r="F145" s="4">
        <v>1103001</v>
      </c>
      <c r="H145" s="7"/>
      <c r="I145" s="8"/>
      <c r="J145" s="8"/>
      <c r="K145" s="8"/>
    </row>
    <row r="146" spans="1:19" x14ac:dyDescent="0.15">
      <c r="A146" s="2">
        <v>1103002</v>
      </c>
      <c r="B146" s="20" t="s">
        <v>285</v>
      </c>
      <c r="C146" s="19" t="s">
        <v>327</v>
      </c>
      <c r="D146" s="17" t="s">
        <v>267</v>
      </c>
      <c r="F146" s="4">
        <v>1103001</v>
      </c>
      <c r="H146" s="7"/>
      <c r="I146" s="8"/>
      <c r="J146" s="8"/>
      <c r="K146" s="8"/>
    </row>
    <row r="147" spans="1:19" s="21" customFormat="1" x14ac:dyDescent="0.15">
      <c r="A147" s="2">
        <v>1103003</v>
      </c>
      <c r="B147" s="20" t="s">
        <v>285</v>
      </c>
      <c r="C147" s="19" t="s">
        <v>328</v>
      </c>
      <c r="D147" s="17" t="s">
        <v>239</v>
      </c>
      <c r="E147" s="23">
        <v>1</v>
      </c>
      <c r="F147" s="23"/>
      <c r="G147" s="23"/>
      <c r="H147" s="18" t="s">
        <v>240</v>
      </c>
      <c r="I147" s="24">
        <v>2</v>
      </c>
      <c r="J147" s="24"/>
      <c r="K147" s="24"/>
      <c r="L147" s="17"/>
      <c r="M147" s="23"/>
      <c r="N147" s="23"/>
      <c r="O147" s="23"/>
      <c r="P147" s="18"/>
      <c r="Q147" s="24"/>
      <c r="R147" s="24"/>
      <c r="S147" s="24"/>
    </row>
    <row r="148" spans="1:19" s="21" customFormat="1" x14ac:dyDescent="0.15">
      <c r="A148" s="19">
        <v>1103100</v>
      </c>
      <c r="B148" s="20" t="s">
        <v>285</v>
      </c>
      <c r="C148" s="19" t="s">
        <v>329</v>
      </c>
      <c r="D148" s="17" t="s">
        <v>267</v>
      </c>
      <c r="E148" s="23"/>
      <c r="F148" s="23">
        <v>1103101</v>
      </c>
      <c r="G148" s="23"/>
      <c r="H148" s="18"/>
      <c r="I148" s="24"/>
      <c r="J148" s="24"/>
      <c r="K148" s="24"/>
      <c r="L148" s="17"/>
      <c r="M148" s="23"/>
      <c r="N148" s="23"/>
      <c r="O148" s="23"/>
      <c r="P148" s="18"/>
      <c r="Q148" s="24"/>
      <c r="R148" s="24"/>
      <c r="S148" s="24"/>
    </row>
    <row r="149" spans="1:19" s="21" customFormat="1" x14ac:dyDescent="0.15">
      <c r="A149" s="19">
        <v>1103101</v>
      </c>
      <c r="B149" s="20" t="s">
        <v>285</v>
      </c>
      <c r="C149" s="19" t="s">
        <v>330</v>
      </c>
      <c r="D149" s="17" t="s">
        <v>239</v>
      </c>
      <c r="E149" s="23"/>
      <c r="F149" s="23"/>
      <c r="G149" s="23"/>
      <c r="H149" s="18"/>
      <c r="I149" s="24"/>
      <c r="J149" s="24"/>
      <c r="K149" s="24"/>
      <c r="L149" s="17"/>
      <c r="M149" s="23"/>
      <c r="N149" s="23"/>
      <c r="O149" s="23"/>
      <c r="P149" s="18"/>
      <c r="Q149" s="24"/>
      <c r="R149" s="24"/>
      <c r="S149" s="24"/>
    </row>
    <row r="150" spans="1:19" s="21" customFormat="1" x14ac:dyDescent="0.15">
      <c r="A150" s="19">
        <v>1103200</v>
      </c>
      <c r="B150" s="20" t="s">
        <v>285</v>
      </c>
      <c r="C150" s="19" t="s">
        <v>331</v>
      </c>
      <c r="D150" s="17" t="s">
        <v>332</v>
      </c>
      <c r="E150" s="23">
        <v>1</v>
      </c>
      <c r="F150" s="23">
        <v>1103201</v>
      </c>
      <c r="G150" s="23"/>
      <c r="H150" s="18"/>
      <c r="I150" s="24"/>
      <c r="J150" s="24"/>
      <c r="K150" s="24"/>
      <c r="L150" s="17"/>
      <c r="M150" s="23"/>
      <c r="N150" s="23"/>
      <c r="O150" s="23"/>
      <c r="P150" s="18"/>
      <c r="Q150" s="24"/>
      <c r="R150" s="24"/>
      <c r="S150" s="24"/>
    </row>
    <row r="151" spans="1:19" x14ac:dyDescent="0.15">
      <c r="A151" s="19">
        <v>1103201</v>
      </c>
      <c r="B151" s="20" t="s">
        <v>285</v>
      </c>
      <c r="C151" s="19" t="s">
        <v>333</v>
      </c>
      <c r="D151" s="17" t="s">
        <v>267</v>
      </c>
      <c r="E151" s="4">
        <v>2</v>
      </c>
      <c r="H151" s="7"/>
      <c r="I151" s="8"/>
      <c r="J151" s="8"/>
      <c r="K151" s="8"/>
    </row>
    <row r="152" spans="1:19" x14ac:dyDescent="0.15">
      <c r="A152" s="2">
        <v>1200100</v>
      </c>
      <c r="B152" s="20" t="s">
        <v>111</v>
      </c>
      <c r="C152" s="2" t="s">
        <v>112</v>
      </c>
      <c r="D152" s="12" t="s">
        <v>143</v>
      </c>
      <c r="E152" s="4">
        <v>1</v>
      </c>
      <c r="H152" s="16" t="s">
        <v>144</v>
      </c>
      <c r="I152" s="8">
        <v>2</v>
      </c>
      <c r="J152" s="8"/>
      <c r="K152" s="8"/>
    </row>
    <row r="153" spans="1:19" x14ac:dyDescent="0.15">
      <c r="A153" s="2">
        <v>1200200</v>
      </c>
      <c r="B153" s="20" t="s">
        <v>113</v>
      </c>
      <c r="C153" s="2" t="s">
        <v>114</v>
      </c>
      <c r="D153" s="12" t="s">
        <v>143</v>
      </c>
      <c r="E153" s="4">
        <v>1</v>
      </c>
      <c r="H153" s="16" t="s">
        <v>144</v>
      </c>
      <c r="I153" s="8">
        <v>2</v>
      </c>
      <c r="J153" s="8"/>
      <c r="K153" s="8"/>
    </row>
    <row r="154" spans="1:19" x14ac:dyDescent="0.15">
      <c r="A154" s="2">
        <v>1200300</v>
      </c>
      <c r="B154" s="20" t="s">
        <v>115</v>
      </c>
      <c r="C154" s="2" t="s">
        <v>116</v>
      </c>
      <c r="D154" s="12" t="s">
        <v>143</v>
      </c>
      <c r="E154" s="4">
        <v>1</v>
      </c>
      <c r="H154" s="16" t="s">
        <v>144</v>
      </c>
      <c r="I154" s="8">
        <v>2</v>
      </c>
      <c r="J154" s="8"/>
      <c r="K154" s="8"/>
    </row>
    <row r="155" spans="1:19" x14ac:dyDescent="0.15">
      <c r="A155" s="2">
        <v>1200400</v>
      </c>
      <c r="B155" s="20" t="s">
        <v>117</v>
      </c>
      <c r="C155" s="2" t="s">
        <v>118</v>
      </c>
      <c r="D155" s="12" t="s">
        <v>143</v>
      </c>
      <c r="E155" s="4">
        <v>1</v>
      </c>
      <c r="H155" s="16" t="s">
        <v>144</v>
      </c>
      <c r="I155" s="8">
        <v>2</v>
      </c>
      <c r="J155" s="8"/>
      <c r="K155" s="8"/>
    </row>
    <row r="156" spans="1:19" x14ac:dyDescent="0.15">
      <c r="A156" s="14">
        <v>2000000</v>
      </c>
      <c r="B156" s="20" t="s">
        <v>132</v>
      </c>
      <c r="C156" s="15" t="s">
        <v>135</v>
      </c>
      <c r="D156" s="12" t="s">
        <v>152</v>
      </c>
      <c r="E156" s="4">
        <v>2</v>
      </c>
    </row>
    <row r="157" spans="1:19" x14ac:dyDescent="0.15">
      <c r="A157" s="14">
        <v>2000001</v>
      </c>
      <c r="B157" s="20" t="s">
        <v>134</v>
      </c>
      <c r="C157" s="15" t="s">
        <v>136</v>
      </c>
      <c r="D157" s="12" t="s">
        <v>151</v>
      </c>
      <c r="E157" s="4">
        <v>2</v>
      </c>
    </row>
    <row r="158" spans="1:19" x14ac:dyDescent="0.15">
      <c r="A158" s="14">
        <v>2000002</v>
      </c>
      <c r="B158" s="20" t="s">
        <v>131</v>
      </c>
      <c r="C158" s="15" t="s">
        <v>137</v>
      </c>
      <c r="D158" s="12" t="s">
        <v>188</v>
      </c>
      <c r="E158" s="4">
        <v>2</v>
      </c>
    </row>
    <row r="159" spans="1:19" x14ac:dyDescent="0.15">
      <c r="A159" s="14">
        <v>2000003</v>
      </c>
      <c r="B159" s="20" t="s">
        <v>138</v>
      </c>
      <c r="C159" s="15" t="s">
        <v>139</v>
      </c>
      <c r="D159" s="12" t="s">
        <v>188</v>
      </c>
      <c r="E159" s="4">
        <v>2</v>
      </c>
    </row>
    <row r="160" spans="1:19" x14ac:dyDescent="0.15">
      <c r="A160">
        <v>2000004</v>
      </c>
      <c r="B160" s="20" t="s">
        <v>140</v>
      </c>
      <c r="C160" s="22" t="s">
        <v>290</v>
      </c>
      <c r="D160" s="12" t="s">
        <v>188</v>
      </c>
      <c r="E160" s="4">
        <v>2</v>
      </c>
    </row>
    <row r="161" spans="1:5" x14ac:dyDescent="0.15">
      <c r="A161" s="14">
        <v>2000005</v>
      </c>
      <c r="B161" s="20" t="s">
        <v>141</v>
      </c>
      <c r="C161" s="15" t="s">
        <v>142</v>
      </c>
      <c r="D161" s="12" t="s">
        <v>188</v>
      </c>
      <c r="E161" s="4">
        <v>2</v>
      </c>
    </row>
    <row r="162" spans="1:5" x14ac:dyDescent="0.15">
      <c r="A162" s="14">
        <v>2000006</v>
      </c>
      <c r="B162" s="20" t="s">
        <v>285</v>
      </c>
      <c r="C162" s="21" t="s">
        <v>286</v>
      </c>
      <c r="D162" s="17" t="s">
        <v>289</v>
      </c>
      <c r="E162" s="4">
        <v>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62"/>
  <sheetViews>
    <sheetView topLeftCell="A37" workbookViewId="0">
      <selection activeCell="B64" sqref="B64"/>
    </sheetView>
  </sheetViews>
  <sheetFormatPr defaultColWidth="9" defaultRowHeight="13.5" x14ac:dyDescent="0.15"/>
  <cols>
    <col min="1" max="1" width="15.125" customWidth="1"/>
    <col min="3" max="3" width="29.5" customWidth="1"/>
    <col min="4" max="4" width="14" customWidth="1"/>
    <col min="5" max="5" width="30.75" customWidth="1"/>
    <col min="7" max="7" width="26.125" customWidth="1"/>
    <col min="9" max="9" width="10.375"/>
    <col min="14" max="14" width="10.375"/>
    <col min="19" max="19" width="10.375"/>
    <col min="24" max="24" width="10.375"/>
  </cols>
  <sheetData>
    <row r="1" spans="1:25" s="2" customFormat="1" x14ac:dyDescent="0.15">
      <c r="A1" s="2" t="s">
        <v>0</v>
      </c>
      <c r="B1" s="2" t="s">
        <v>1</v>
      </c>
      <c r="C1" s="2" t="s">
        <v>1</v>
      </c>
      <c r="D1" s="2" t="s">
        <v>2</v>
      </c>
      <c r="E1" s="2" t="s">
        <v>2</v>
      </c>
      <c r="F1" s="2" t="s">
        <v>3</v>
      </c>
      <c r="G1" s="2" t="s">
        <v>3</v>
      </c>
      <c r="H1" s="2" t="s">
        <v>4</v>
      </c>
      <c r="I1" s="2" t="s">
        <v>5</v>
      </c>
      <c r="J1" s="2" t="s">
        <v>5</v>
      </c>
      <c r="K1" s="2" t="s">
        <v>6</v>
      </c>
      <c r="L1" s="2" t="s">
        <v>6</v>
      </c>
      <c r="M1" s="2" t="s">
        <v>7</v>
      </c>
      <c r="N1" s="2" t="s">
        <v>8</v>
      </c>
      <c r="O1" s="2" t="s">
        <v>8</v>
      </c>
      <c r="P1" s="2" t="s">
        <v>9</v>
      </c>
      <c r="Q1" s="2" t="s">
        <v>9</v>
      </c>
      <c r="R1" s="2" t="s">
        <v>10</v>
      </c>
      <c r="S1" s="2" t="s">
        <v>11</v>
      </c>
      <c r="T1" s="2" t="s">
        <v>11</v>
      </c>
      <c r="U1" s="2" t="s">
        <v>12</v>
      </c>
      <c r="V1" s="2" t="s">
        <v>12</v>
      </c>
      <c r="W1" s="2" t="s">
        <v>12</v>
      </c>
      <c r="X1" s="2" t="s">
        <v>13</v>
      </c>
      <c r="Y1" s="2" t="s">
        <v>14</v>
      </c>
    </row>
    <row r="2" spans="1:25" s="2" customFormat="1" x14ac:dyDescent="0.15">
      <c r="A2" s="2" t="s">
        <v>15</v>
      </c>
      <c r="B2" s="2" t="s">
        <v>16</v>
      </c>
      <c r="C2" s="2" t="s">
        <v>16</v>
      </c>
      <c r="D2" s="2" t="s">
        <v>16</v>
      </c>
      <c r="E2" s="2" t="s">
        <v>16</v>
      </c>
      <c r="F2" s="2" t="s">
        <v>16</v>
      </c>
      <c r="G2" s="2" t="s">
        <v>16</v>
      </c>
      <c r="H2" s="2" t="s">
        <v>15</v>
      </c>
      <c r="I2" s="2" t="s">
        <v>15</v>
      </c>
      <c r="J2" s="2" t="s">
        <v>16</v>
      </c>
      <c r="K2" s="2" t="s">
        <v>16</v>
      </c>
      <c r="L2" s="2" t="s">
        <v>16</v>
      </c>
      <c r="M2" s="2" t="s">
        <v>15</v>
      </c>
      <c r="N2" s="2" t="s">
        <v>15</v>
      </c>
      <c r="O2" s="2" t="s">
        <v>15</v>
      </c>
      <c r="P2" s="2" t="s">
        <v>16</v>
      </c>
      <c r="Q2" s="2" t="s">
        <v>16</v>
      </c>
      <c r="R2" s="2" t="s">
        <v>15</v>
      </c>
      <c r="S2" s="2" t="s">
        <v>15</v>
      </c>
      <c r="T2" s="2" t="s">
        <v>15</v>
      </c>
      <c r="U2" s="2" t="s">
        <v>16</v>
      </c>
      <c r="V2" s="2" t="s">
        <v>16</v>
      </c>
      <c r="W2" s="2" t="s">
        <v>15</v>
      </c>
      <c r="X2" s="2" t="s">
        <v>15</v>
      </c>
      <c r="Y2" s="2" t="s">
        <v>15</v>
      </c>
    </row>
    <row r="3" spans="1:25" s="2" customFormat="1" x14ac:dyDescent="0.15">
      <c r="A3" s="2" t="s">
        <v>17</v>
      </c>
      <c r="C3" s="2" t="s">
        <v>119</v>
      </c>
      <c r="E3" s="2" t="s">
        <v>120</v>
      </c>
      <c r="G3" s="2" t="s">
        <v>121</v>
      </c>
      <c r="H3" s="2" t="s">
        <v>18</v>
      </c>
      <c r="I3" s="2" t="s">
        <v>19</v>
      </c>
      <c r="J3" s="2" t="s">
        <v>20</v>
      </c>
      <c r="L3" s="2" t="s">
        <v>122</v>
      </c>
      <c r="M3" s="2" t="s">
        <v>21</v>
      </c>
      <c r="N3" s="2" t="s">
        <v>22</v>
      </c>
      <c r="O3" s="2" t="s">
        <v>23</v>
      </c>
      <c r="Q3" s="2" t="s">
        <v>123</v>
      </c>
      <c r="R3" s="2" t="s">
        <v>24</v>
      </c>
      <c r="S3" s="2" t="s">
        <v>25</v>
      </c>
      <c r="T3" s="2" t="s">
        <v>26</v>
      </c>
      <c r="V3" s="2" t="s">
        <v>124</v>
      </c>
      <c r="W3" s="2" t="s">
        <v>28</v>
      </c>
      <c r="X3" s="2" t="s">
        <v>29</v>
      </c>
      <c r="Y3" s="2" t="s">
        <v>30</v>
      </c>
    </row>
    <row r="4" spans="1:25" x14ac:dyDescent="0.15">
      <c r="A4">
        <f>策划表!A4</f>
        <v>1100100</v>
      </c>
      <c r="B4" t="str">
        <f>IF(策划表!B4="","",策划表!B4)</f>
        <v>缇娜</v>
      </c>
      <c r="C4" t="str">
        <f>"t_director_title_"&amp;A4</f>
        <v>t_director_title_1100100</v>
      </c>
      <c r="D4" t="str">
        <f>IF(策划表!C4="","",策划表!C4)</f>
        <v>你来啦！</v>
      </c>
      <c r="E4" t="str">
        <f>"t_director_dialog_"&amp;A4</f>
        <v>t_director_dialog_1100100</v>
      </c>
      <c r="F4" t="str">
        <f>IF(策划表!D4="","",策划表!D4)</f>
        <v>你来的好早啊！缇娜</v>
      </c>
      <c r="G4" t="str">
        <f>"t_director_option0_"&amp;A4</f>
        <v>t_director_option0_1100100</v>
      </c>
      <c r="H4" t="str">
        <f>IF(策划表!E4="","",策划表!E4)</f>
        <v/>
      </c>
      <c r="I4">
        <f>IF(策划表!F4="","",策划表!F4)</f>
        <v>1100101</v>
      </c>
      <c r="J4" t="str">
        <f>IF(策划表!G4="","",策划表!G4)</f>
        <v/>
      </c>
      <c r="K4" t="str">
        <f>IF(策划表!H4="","",策划表!H4)</f>
        <v/>
      </c>
      <c r="L4" t="str">
        <f>"t_director_option1_"&amp;A4</f>
        <v>t_director_option1_1100100</v>
      </c>
      <c r="M4" t="str">
        <f>IF(策划表!I4="","",策划表!I4)</f>
        <v/>
      </c>
      <c r="N4" t="str">
        <f>IF(策划表!J4="","",策划表!J4)</f>
        <v/>
      </c>
      <c r="O4" t="str">
        <f>IF(策划表!K4="","",策划表!K4)</f>
        <v/>
      </c>
      <c r="P4" t="str">
        <f>IF(策划表!L4="","",策划表!L4)</f>
        <v/>
      </c>
      <c r="Q4" t="str">
        <f>"t_director_option2_"&amp;A4</f>
        <v>t_director_option2_1100100</v>
      </c>
      <c r="R4" t="str">
        <f>IF(策划表!M4="","",策划表!M4)</f>
        <v/>
      </c>
      <c r="S4" t="str">
        <f>IF(策划表!N4="","",策划表!N4)</f>
        <v/>
      </c>
      <c r="T4" t="str">
        <f>IF(策划表!O4="","",策划表!O4)</f>
        <v/>
      </c>
      <c r="U4" t="str">
        <f>IF(策划表!P4="","",策划表!P4)</f>
        <v/>
      </c>
      <c r="V4" t="str">
        <f>"t_director_option3_"&amp;A4</f>
        <v>t_director_option3_1100100</v>
      </c>
      <c r="W4" t="str">
        <f>IF(策划表!Q4="","",策划表!Q4)</f>
        <v/>
      </c>
      <c r="X4" t="str">
        <f>IF(策划表!R4="","",策划表!R4)</f>
        <v/>
      </c>
      <c r="Y4" t="str">
        <f>IF(策划表!S4="","",策划表!S4)</f>
        <v/>
      </c>
    </row>
    <row r="5" spans="1:25" x14ac:dyDescent="0.15">
      <c r="A5">
        <f>策划表!A5</f>
        <v>1100101</v>
      </c>
      <c r="B5" t="str">
        <f>IF(策划表!B5="","",策划表!B5)</f>
        <v>缇娜</v>
      </c>
      <c r="C5" t="str">
        <f t="shared" ref="C5:C68" si="0">"t_director_title_"&amp;A5</f>
        <v>t_director_title_1100101</v>
      </c>
      <c r="D5" t="str">
        <f>IF(策划表!C5="","",策划表!C5)</f>
        <v>今天可是你加入报名加入刷子公会的日子，你还能迟到，不过不用担心，我给你报过名了。</v>
      </c>
      <c r="E5" t="str">
        <f t="shared" ref="E5:E68" si="1">"t_director_dialog_"&amp;A5</f>
        <v>t_director_dialog_1100101</v>
      </c>
      <c r="F5" t="str">
        <f>IF(策划表!D5="","",策划表!D5)</f>
        <v>麻烦的事情开始了</v>
      </c>
      <c r="G5" t="str">
        <f t="shared" ref="G5:G68" si="2">"t_director_option0_"&amp;A5</f>
        <v>t_director_option0_1100101</v>
      </c>
      <c r="H5" t="str">
        <f>IF(策划表!E5="","",策划表!E5)</f>
        <v/>
      </c>
      <c r="I5">
        <f>IF(策划表!F5="","",策划表!F5)</f>
        <v>1100102</v>
      </c>
      <c r="J5" t="str">
        <f>IF(策划表!G5="","",策划表!G5)</f>
        <v/>
      </c>
      <c r="K5" t="str">
        <f>IF(策划表!H5="","",策划表!H5)</f>
        <v>你真是个贤妻良母</v>
      </c>
      <c r="L5" t="str">
        <f t="shared" ref="L5:L68" si="3">"t_director_option1_"&amp;A5</f>
        <v>t_director_option1_1100101</v>
      </c>
      <c r="M5" t="str">
        <f>IF(策划表!I5="","",策划表!I5)</f>
        <v/>
      </c>
      <c r="N5">
        <f>IF(策划表!J5="","",策划表!J5)</f>
        <v>1100102</v>
      </c>
      <c r="O5" t="str">
        <f>IF(策划表!K5="","",策划表!K5)</f>
        <v/>
      </c>
      <c r="P5" t="str">
        <f>IF(策划表!L5="","",策划表!L5)</f>
        <v/>
      </c>
      <c r="Q5" t="str">
        <f t="shared" ref="Q5:Q68" si="4">"t_director_option2_"&amp;A5</f>
        <v>t_director_option2_1100101</v>
      </c>
      <c r="R5" t="str">
        <f>IF(策划表!M5="","",策划表!M5)</f>
        <v/>
      </c>
      <c r="S5" t="str">
        <f>IF(策划表!N5="","",策划表!N5)</f>
        <v/>
      </c>
      <c r="T5" t="str">
        <f>IF(策划表!O5="","",策划表!O5)</f>
        <v/>
      </c>
      <c r="U5" t="str">
        <f>IF(策划表!P5="","",策划表!P5)</f>
        <v/>
      </c>
      <c r="V5" t="str">
        <f t="shared" ref="V5:V68" si="5">"t_director_option3_"&amp;A5</f>
        <v>t_director_option3_1100101</v>
      </c>
      <c r="W5" t="str">
        <f>IF(策划表!Q5="","",策划表!Q5)</f>
        <v/>
      </c>
      <c r="X5" t="str">
        <f>IF(策划表!R5="","",策划表!R5)</f>
        <v/>
      </c>
      <c r="Y5" t="str">
        <f>IF(策划表!S5="","",策划表!S5)</f>
        <v/>
      </c>
    </row>
    <row r="6" spans="1:25" x14ac:dyDescent="0.15">
      <c r="A6">
        <f>策划表!A6</f>
        <v>1100102</v>
      </c>
      <c r="B6" t="str">
        <f>IF(策划表!B6="","",策划表!B6)</f>
        <v>缇娜</v>
      </c>
      <c r="C6" t="str">
        <f t="shared" si="0"/>
        <v>t_director_title_1100102</v>
      </c>
      <c r="D6" t="str">
        <f>IF(策划表!C6="","",策划表!C6)</f>
        <v>别胡说啦，你可是未来的英雄。快和刷子公会的伊迪丝小姐对话，别让她等太久了。</v>
      </c>
      <c r="E6" t="str">
        <f t="shared" si="1"/>
        <v>t_director_dialog_1100102</v>
      </c>
      <c r="F6" t="str">
        <f>IF(策划表!D6="","",策划表!D6)</f>
        <v>好的</v>
      </c>
      <c r="G6" t="str">
        <f t="shared" si="2"/>
        <v>t_director_option0_1100102</v>
      </c>
      <c r="H6">
        <f>IF(策划表!E6="","",策划表!E6)</f>
        <v>1</v>
      </c>
      <c r="I6" t="str">
        <f>IF(策划表!F6="","",策划表!F6)</f>
        <v/>
      </c>
      <c r="J6" t="str">
        <f>IF(策划表!G6="","",策划表!G6)</f>
        <v/>
      </c>
      <c r="K6" t="str">
        <f>IF(策划表!H6="","",策划表!H6)</f>
        <v/>
      </c>
      <c r="L6" t="str">
        <f t="shared" si="3"/>
        <v>t_director_option1_1100102</v>
      </c>
      <c r="M6" t="str">
        <f>IF(策划表!I6="","",策划表!I6)</f>
        <v/>
      </c>
      <c r="N6" t="str">
        <f>IF(策划表!J6="","",策划表!J6)</f>
        <v/>
      </c>
      <c r="O6" t="str">
        <f>IF(策划表!K6="","",策划表!K6)</f>
        <v/>
      </c>
      <c r="P6" t="str">
        <f>IF(策划表!L6="","",策划表!L6)</f>
        <v/>
      </c>
      <c r="Q6" t="str">
        <f t="shared" si="4"/>
        <v>t_director_option2_1100102</v>
      </c>
      <c r="R6" t="str">
        <f>IF(策划表!M6="","",策划表!M6)</f>
        <v/>
      </c>
      <c r="S6" t="str">
        <f>IF(策划表!N6="","",策划表!N6)</f>
        <v/>
      </c>
      <c r="T6" t="str">
        <f>IF(策划表!O6="","",策划表!O6)</f>
        <v/>
      </c>
      <c r="U6" t="str">
        <f>IF(策划表!P6="","",策划表!P6)</f>
        <v/>
      </c>
      <c r="V6" t="str">
        <f t="shared" si="5"/>
        <v>t_director_option3_1100102</v>
      </c>
      <c r="W6" t="str">
        <f>IF(策划表!Q6="","",策划表!Q6)</f>
        <v/>
      </c>
      <c r="X6" t="str">
        <f>IF(策划表!R6="","",策划表!R6)</f>
        <v/>
      </c>
      <c r="Y6" t="str">
        <f>IF(策划表!S6="","",策划表!S6)</f>
        <v/>
      </c>
    </row>
    <row r="7" spans="1:25" x14ac:dyDescent="0.15">
      <c r="A7">
        <f>策划表!A7</f>
        <v>1100200</v>
      </c>
      <c r="B7" t="str">
        <f>IF(策划表!B7="","",策划表!B7)</f>
        <v>伊迪丝</v>
      </c>
      <c r="C7" t="str">
        <f t="shared" si="0"/>
        <v>t_director_title_1100200</v>
      </c>
      <c r="D7" t="str">
        <f>IF(策划表!C7="","",策划表!C7)</f>
        <v>是要加入刷子公会啊！刷子公会是冒险者的公会，所谓冒险者就是帮助人们完成他们发布的任务的人，最近魔物突然增多，公会人手不足，所以招募了你们这些新人。</v>
      </c>
      <c r="E7" t="str">
        <f t="shared" si="1"/>
        <v>t_director_dialog_1100200</v>
      </c>
      <c r="F7" t="str">
        <f>IF(策划表!D7="","",策划表!D7)</f>
        <v>…</v>
      </c>
      <c r="G7" t="str">
        <f t="shared" si="2"/>
        <v>t_director_option0_1100200</v>
      </c>
      <c r="H7" t="str">
        <f>IF(策划表!E7="","",策划表!E7)</f>
        <v/>
      </c>
      <c r="I7">
        <f>IF(策划表!F7="","",策划表!F7)</f>
        <v>1100301</v>
      </c>
      <c r="J7" t="str">
        <f>IF(策划表!G7="","",策划表!G7)</f>
        <v/>
      </c>
      <c r="K7" t="str">
        <f>IF(策划表!H7="","",策划表!H7)</f>
        <v/>
      </c>
      <c r="L7" t="str">
        <f t="shared" si="3"/>
        <v>t_director_option1_1100200</v>
      </c>
      <c r="M7" t="str">
        <f>IF(策划表!I7="","",策划表!I7)</f>
        <v/>
      </c>
      <c r="N7" t="str">
        <f>IF(策划表!J7="","",策划表!J7)</f>
        <v/>
      </c>
      <c r="O7" t="str">
        <f>IF(策划表!K7="","",策划表!K7)</f>
        <v/>
      </c>
      <c r="P7" t="str">
        <f>IF(策划表!L7="","",策划表!L7)</f>
        <v/>
      </c>
      <c r="Q7" t="str">
        <f t="shared" si="4"/>
        <v>t_director_option2_1100200</v>
      </c>
      <c r="R7" t="str">
        <f>IF(策划表!M7="","",策划表!M7)</f>
        <v/>
      </c>
      <c r="S7" t="str">
        <f>IF(策划表!N7="","",策划表!N7)</f>
        <v/>
      </c>
      <c r="T7" t="str">
        <f>IF(策划表!O7="","",策划表!O7)</f>
        <v/>
      </c>
      <c r="U7" t="str">
        <f>IF(策划表!P7="","",策划表!P7)</f>
        <v/>
      </c>
      <c r="V7" t="str">
        <f t="shared" si="5"/>
        <v>t_director_option3_1100200</v>
      </c>
      <c r="W7" t="str">
        <f>IF(策划表!Q7="","",策划表!Q7)</f>
        <v/>
      </c>
      <c r="X7" t="str">
        <f>IF(策划表!R7="","",策划表!R7)</f>
        <v/>
      </c>
      <c r="Y7" t="str">
        <f>IF(策划表!S7="","",策划表!S7)</f>
        <v/>
      </c>
    </row>
    <row r="8" spans="1:25" x14ac:dyDescent="0.15">
      <c r="A8">
        <f>策划表!A8</f>
        <v>1100201</v>
      </c>
      <c r="B8" t="str">
        <f>IF(策划表!B8="","",策划表!B8)</f>
        <v>伊迪丝</v>
      </c>
      <c r="C8" t="str">
        <f t="shared" si="0"/>
        <v>t_director_title_1100201</v>
      </c>
      <c r="D8" t="str">
        <f>IF(策划表!C8="","",策划表!C8)</f>
        <v>因为冒险者经常身处险境，所以要加入公会必须先通过考核。最近怪物做乱，神殿不准人们出门狩猎，食物有些短缺。</v>
      </c>
      <c r="E8" t="str">
        <f t="shared" si="1"/>
        <v>t_director_dialog_1100201</v>
      </c>
      <c r="F8" t="str">
        <f>IF(策划表!D8="","",策划表!D8)</f>
        <v>…</v>
      </c>
      <c r="G8" t="str">
        <f t="shared" si="2"/>
        <v>t_director_option0_1100201</v>
      </c>
      <c r="H8" t="str">
        <f>IF(策划表!E8="","",策划表!E8)</f>
        <v/>
      </c>
      <c r="I8">
        <f>IF(策划表!F8="","",策划表!F8)</f>
        <v>1100302</v>
      </c>
      <c r="J8" t="str">
        <f>IF(策划表!G8="","",策划表!G8)</f>
        <v/>
      </c>
      <c r="K8" t="str">
        <f>IF(策划表!H8="","",策划表!H8)</f>
        <v/>
      </c>
      <c r="L8" t="str">
        <f t="shared" si="3"/>
        <v>t_director_option1_1100201</v>
      </c>
      <c r="M8" t="str">
        <f>IF(策划表!I8="","",策划表!I8)</f>
        <v/>
      </c>
      <c r="N8" t="str">
        <f>IF(策划表!J8="","",策划表!J8)</f>
        <v/>
      </c>
      <c r="O8" t="str">
        <f>IF(策划表!K8="","",策划表!K8)</f>
        <v/>
      </c>
      <c r="P8" t="str">
        <f>IF(策划表!L8="","",策划表!L8)</f>
        <v/>
      </c>
      <c r="Q8" t="str">
        <f t="shared" si="4"/>
        <v>t_director_option2_1100201</v>
      </c>
      <c r="R8" t="str">
        <f>IF(策划表!M8="","",策划表!M8)</f>
        <v/>
      </c>
      <c r="S8" t="str">
        <f>IF(策划表!N8="","",策划表!N8)</f>
        <v/>
      </c>
      <c r="T8" t="str">
        <f>IF(策划表!O8="","",策划表!O8)</f>
        <v/>
      </c>
      <c r="U8" t="str">
        <f>IF(策划表!P8="","",策划表!P8)</f>
        <v/>
      </c>
      <c r="V8" t="str">
        <f t="shared" si="5"/>
        <v>t_director_option3_1100201</v>
      </c>
      <c r="W8" t="str">
        <f>IF(策划表!Q8="","",策划表!Q8)</f>
        <v/>
      </c>
      <c r="X8" t="str">
        <f>IF(策划表!R8="","",策划表!R8)</f>
        <v/>
      </c>
      <c r="Y8" t="str">
        <f>IF(策划表!S8="","",策划表!S8)</f>
        <v/>
      </c>
    </row>
    <row r="9" spans="1:25" x14ac:dyDescent="0.15">
      <c r="A9">
        <f>策划表!A9</f>
        <v>1100202</v>
      </c>
      <c r="B9" t="str">
        <f>IF(策划表!B9="","",策划表!B9)</f>
        <v>伊迪丝</v>
      </c>
      <c r="C9" t="str">
        <f t="shared" si="0"/>
        <v>t_director_title_1100202</v>
      </c>
      <c r="D9" t="str">
        <f>IF(策划表!C9="","",策划表!C9)</f>
        <v>作为考核的第一项，你去矿洞周围狩猎一些鹿来弥补下城市的食物吧。</v>
      </c>
      <c r="E9" t="str">
        <f t="shared" si="1"/>
        <v>t_director_dialog_1100202</v>
      </c>
      <c r="F9" t="str">
        <f>IF(策划表!D9="","",策划表!D9)</f>
        <v>好的</v>
      </c>
      <c r="G9" t="str">
        <f t="shared" si="2"/>
        <v>t_director_option0_1100202</v>
      </c>
      <c r="H9" t="str">
        <f>IF(策划表!E9="","",策划表!E9)</f>
        <v/>
      </c>
      <c r="I9">
        <f>IF(策划表!F9="","",策划表!F9)</f>
        <v>1100303</v>
      </c>
      <c r="J9" t="str">
        <f>IF(策划表!G9="","",策划表!G9)</f>
        <v/>
      </c>
      <c r="K9" t="str">
        <f>IF(策划表!H9="","",策划表!H9)</f>
        <v/>
      </c>
      <c r="L9" t="str">
        <f t="shared" si="3"/>
        <v>t_director_option1_1100202</v>
      </c>
      <c r="M9" t="str">
        <f>IF(策划表!I9="","",策划表!I9)</f>
        <v/>
      </c>
      <c r="N9" t="str">
        <f>IF(策划表!J9="","",策划表!J9)</f>
        <v/>
      </c>
      <c r="O9" t="str">
        <f>IF(策划表!K9="","",策划表!K9)</f>
        <v/>
      </c>
      <c r="P9" t="str">
        <f>IF(策划表!L9="","",策划表!L9)</f>
        <v/>
      </c>
      <c r="Q9" t="str">
        <f t="shared" si="4"/>
        <v>t_director_option2_1100202</v>
      </c>
      <c r="R9" t="str">
        <f>IF(策划表!M9="","",策划表!M9)</f>
        <v/>
      </c>
      <c r="S9" t="str">
        <f>IF(策划表!N9="","",策划表!N9)</f>
        <v/>
      </c>
      <c r="T9" t="str">
        <f>IF(策划表!O9="","",策划表!O9)</f>
        <v/>
      </c>
      <c r="U9" t="str">
        <f>IF(策划表!P9="","",策划表!P9)</f>
        <v/>
      </c>
      <c r="V9" t="str">
        <f t="shared" si="5"/>
        <v>t_director_option3_1100202</v>
      </c>
      <c r="W9" t="str">
        <f>IF(策划表!Q9="","",策划表!Q9)</f>
        <v/>
      </c>
      <c r="X9" t="str">
        <f>IF(策划表!R9="","",策划表!R9)</f>
        <v/>
      </c>
      <c r="Y9" t="str">
        <f>IF(策划表!S9="","",策划表!S9)</f>
        <v/>
      </c>
    </row>
    <row r="10" spans="1:25" x14ac:dyDescent="0.15">
      <c r="A10">
        <f>策划表!A10</f>
        <v>1100203</v>
      </c>
      <c r="B10" t="str">
        <f>IF(策划表!B10="","",策划表!B10)</f>
        <v>伊迪丝</v>
      </c>
      <c r="C10" t="str">
        <f t="shared" si="0"/>
        <v>t_director_title_1100203</v>
      </c>
      <c r="D10" t="str">
        <f>IF(策划表!C10="","",策划表!C10)</f>
        <v>这里有考核用的武器，你可以用它击杀鹿。</v>
      </c>
      <c r="E10" t="str">
        <f t="shared" si="1"/>
        <v>t_director_dialog_1100203</v>
      </c>
      <c r="F10" t="str">
        <f>IF(策划表!D10="","",策划表!D10)</f>
        <v>好的</v>
      </c>
      <c r="G10" t="str">
        <f t="shared" si="2"/>
        <v>t_director_option0_1100203</v>
      </c>
      <c r="H10">
        <f>IF(策划表!E10="","",策划表!E10)</f>
        <v>1</v>
      </c>
      <c r="I10" t="str">
        <f>IF(策划表!F10="","",策划表!F10)</f>
        <v/>
      </c>
      <c r="J10" t="str">
        <f>IF(策划表!G10="","",策划表!G10)</f>
        <v/>
      </c>
      <c r="K10" t="str">
        <f>IF(策划表!H10="","",策划表!H10)</f>
        <v/>
      </c>
      <c r="L10" t="str">
        <f t="shared" si="3"/>
        <v>t_director_option1_1100203</v>
      </c>
      <c r="M10" t="str">
        <f>IF(策划表!I10="","",策划表!I10)</f>
        <v/>
      </c>
      <c r="N10" t="str">
        <f>IF(策划表!J10="","",策划表!J10)</f>
        <v/>
      </c>
      <c r="O10" t="str">
        <f>IF(策划表!K10="","",策划表!K10)</f>
        <v/>
      </c>
      <c r="P10" t="str">
        <f>IF(策划表!L10="","",策划表!L10)</f>
        <v/>
      </c>
      <c r="Q10" t="str">
        <f t="shared" si="4"/>
        <v>t_director_option2_1100203</v>
      </c>
      <c r="R10" t="str">
        <f>IF(策划表!M10="","",策划表!M10)</f>
        <v/>
      </c>
      <c r="S10" t="str">
        <f>IF(策划表!N10="","",策划表!N10)</f>
        <v/>
      </c>
      <c r="T10" t="str">
        <f>IF(策划表!O10="","",策划表!O10)</f>
        <v/>
      </c>
      <c r="U10" t="str">
        <f>IF(策划表!P10="","",策划表!P10)</f>
        <v/>
      </c>
      <c r="V10" t="str">
        <f t="shared" si="5"/>
        <v>t_director_option3_1100203</v>
      </c>
      <c r="W10" t="str">
        <f>IF(策划表!Q10="","",策划表!Q10)</f>
        <v/>
      </c>
      <c r="X10" t="str">
        <f>IF(策划表!R10="","",策划表!R10)</f>
        <v/>
      </c>
      <c r="Y10" t="str">
        <f>IF(策划表!S10="","",策划表!S10)</f>
        <v/>
      </c>
    </row>
    <row r="11" spans="1:25" x14ac:dyDescent="0.15">
      <c r="A11">
        <f>策划表!A11</f>
        <v>1100300</v>
      </c>
      <c r="B11" t="str">
        <f>IF(策划表!B11="","",策划表!B11)</f>
        <v>伊迪丝</v>
      </c>
      <c r="C11" t="str">
        <f t="shared" si="0"/>
        <v>t_director_title_1100300</v>
      </c>
      <c r="D11" t="str">
        <f>IF(策划表!C11="","",策划表!C11)</f>
        <v>这么快你就完成了任务，新进冒险者中，你是速度最快的。</v>
      </c>
      <c r="E11" t="str">
        <f t="shared" si="1"/>
        <v>t_director_dialog_1100300</v>
      </c>
      <c r="F11" t="str">
        <f>IF(策划表!D11="","",策划表!D11)</f>
        <v>…</v>
      </c>
      <c r="G11" t="str">
        <f t="shared" si="2"/>
        <v>t_director_option0_1100300</v>
      </c>
      <c r="H11" t="str">
        <f>IF(策划表!E11="","",策划表!E11)</f>
        <v/>
      </c>
      <c r="I11">
        <f>IF(策划表!F11="","",策划表!F11)</f>
        <v>1100401</v>
      </c>
      <c r="J11" t="str">
        <f>IF(策划表!G11="","",策划表!G11)</f>
        <v/>
      </c>
      <c r="K11" t="str">
        <f>IF(策划表!H11="","",策划表!H11)</f>
        <v/>
      </c>
      <c r="L11" t="str">
        <f t="shared" si="3"/>
        <v>t_director_option1_1100300</v>
      </c>
      <c r="M11" t="str">
        <f>IF(策划表!I11="","",策划表!I11)</f>
        <v/>
      </c>
      <c r="N11" t="str">
        <f>IF(策划表!J11="","",策划表!J11)</f>
        <v/>
      </c>
      <c r="O11" t="str">
        <f>IF(策划表!K11="","",策划表!K11)</f>
        <v/>
      </c>
      <c r="P11" t="str">
        <f>IF(策划表!L11="","",策划表!L11)</f>
        <v/>
      </c>
      <c r="Q11" t="str">
        <f t="shared" si="4"/>
        <v>t_director_option2_1100300</v>
      </c>
      <c r="R11" t="str">
        <f>IF(策划表!M11="","",策划表!M11)</f>
        <v/>
      </c>
      <c r="S11" t="str">
        <f>IF(策划表!N11="","",策划表!N11)</f>
        <v/>
      </c>
      <c r="T11" t="str">
        <f>IF(策划表!O11="","",策划表!O11)</f>
        <v/>
      </c>
      <c r="U11" t="str">
        <f>IF(策划表!P11="","",策划表!P11)</f>
        <v/>
      </c>
      <c r="V11" t="str">
        <f t="shared" si="5"/>
        <v>t_director_option3_1100300</v>
      </c>
      <c r="W11" t="str">
        <f>IF(策划表!Q11="","",策划表!Q11)</f>
        <v/>
      </c>
      <c r="X11" t="str">
        <f>IF(策划表!R11="","",策划表!R11)</f>
        <v/>
      </c>
      <c r="Y11" t="str">
        <f>IF(策划表!S11="","",策划表!S11)</f>
        <v/>
      </c>
    </row>
    <row r="12" spans="1:25" x14ac:dyDescent="0.15">
      <c r="A12">
        <f>策划表!A12</f>
        <v>1100301</v>
      </c>
      <c r="B12" t="str">
        <f>IF(策划表!B12="","",策划表!B12)</f>
        <v>伊迪丝</v>
      </c>
      <c r="C12" t="str">
        <f t="shared" si="0"/>
        <v>t_director_title_1100301</v>
      </c>
      <c r="D12" t="str">
        <f>IF(策划表!C12="","",策划表!C12)</f>
        <v>接下来你去海边寻找帕莎，她出城很久还没回来，可能需要你的帮助。</v>
      </c>
      <c r="E12" t="str">
        <f t="shared" si="1"/>
        <v>t_director_dialog_1100301</v>
      </c>
      <c r="F12" t="str">
        <f>IF(策划表!D12="","",策划表!D12)</f>
        <v>好的</v>
      </c>
      <c r="G12" t="str">
        <f t="shared" si="2"/>
        <v>t_director_option0_1100301</v>
      </c>
      <c r="H12">
        <f>IF(策划表!E12="","",策划表!E12)</f>
        <v>1</v>
      </c>
      <c r="I12" t="str">
        <f>IF(策划表!F12="","",策划表!F12)</f>
        <v/>
      </c>
      <c r="J12" t="str">
        <f>IF(策划表!G12="","",策划表!G12)</f>
        <v/>
      </c>
      <c r="K12" t="str">
        <f>IF(策划表!H12="","",策划表!H12)</f>
        <v/>
      </c>
      <c r="L12" t="str">
        <f t="shared" si="3"/>
        <v>t_director_option1_1100301</v>
      </c>
      <c r="M12" t="str">
        <f>IF(策划表!I12="","",策划表!I12)</f>
        <v/>
      </c>
      <c r="N12" t="str">
        <f>IF(策划表!J12="","",策划表!J12)</f>
        <v/>
      </c>
      <c r="O12" t="str">
        <f>IF(策划表!K12="","",策划表!K12)</f>
        <v/>
      </c>
      <c r="P12" t="str">
        <f>IF(策划表!L12="","",策划表!L12)</f>
        <v/>
      </c>
      <c r="Q12" t="str">
        <f t="shared" si="4"/>
        <v>t_director_option2_1100301</v>
      </c>
      <c r="R12" t="str">
        <f>IF(策划表!M12="","",策划表!M12)</f>
        <v/>
      </c>
      <c r="S12" t="str">
        <f>IF(策划表!N12="","",策划表!N12)</f>
        <v/>
      </c>
      <c r="T12" t="str">
        <f>IF(策划表!O12="","",策划表!O12)</f>
        <v/>
      </c>
      <c r="U12" t="str">
        <f>IF(策划表!P12="","",策划表!P12)</f>
        <v/>
      </c>
      <c r="V12" t="str">
        <f t="shared" si="5"/>
        <v>t_director_option3_1100301</v>
      </c>
      <c r="W12" t="str">
        <f>IF(策划表!Q12="","",策划表!Q12)</f>
        <v/>
      </c>
      <c r="X12" t="str">
        <f>IF(策划表!R12="","",策划表!R12)</f>
        <v/>
      </c>
      <c r="Y12" t="str">
        <f>IF(策划表!S12="","",策划表!S12)</f>
        <v/>
      </c>
    </row>
    <row r="13" spans="1:25" x14ac:dyDescent="0.15">
      <c r="A13">
        <f>策划表!A13</f>
        <v>1100400</v>
      </c>
      <c r="B13" t="str">
        <f>IF(策划表!B13="","",策划表!B13)</f>
        <v>帕莎</v>
      </c>
      <c r="C13" t="str">
        <f t="shared" si="0"/>
        <v>t_director_title_1100400</v>
      </c>
      <c r="D13" t="str">
        <f>IF(策划表!C13="","",策划表!C13)</f>
        <v>你好，你找我有什么事吗？</v>
      </c>
      <c r="E13" t="str">
        <f t="shared" si="1"/>
        <v>t_director_dialog_1100400</v>
      </c>
      <c r="F13" t="str">
        <f>IF(策划表!D13="","",策划表!D13)</f>
        <v>伊迪丝说你可能需要帮助</v>
      </c>
      <c r="G13" t="str">
        <f t="shared" si="2"/>
        <v>t_director_option0_1100400</v>
      </c>
      <c r="H13" t="str">
        <f>IF(策划表!E13="","",策划表!E13)</f>
        <v/>
      </c>
      <c r="I13">
        <f>IF(策划表!F13="","",策划表!F13)</f>
        <v>1100451</v>
      </c>
      <c r="J13" t="str">
        <f>IF(策划表!G13="","",策划表!G13)</f>
        <v/>
      </c>
      <c r="K13" t="str">
        <f>IF(策划表!H13="","",策划表!H13)</f>
        <v/>
      </c>
      <c r="L13" t="str">
        <f t="shared" si="3"/>
        <v>t_director_option1_1100400</v>
      </c>
      <c r="M13" t="str">
        <f>IF(策划表!I13="","",策划表!I13)</f>
        <v/>
      </c>
      <c r="N13" t="str">
        <f>IF(策划表!J13="","",策划表!J13)</f>
        <v/>
      </c>
      <c r="O13" t="str">
        <f>IF(策划表!K13="","",策划表!K13)</f>
        <v/>
      </c>
      <c r="P13" t="str">
        <f>IF(策划表!L13="","",策划表!L13)</f>
        <v/>
      </c>
      <c r="Q13" t="str">
        <f t="shared" si="4"/>
        <v>t_director_option2_1100400</v>
      </c>
      <c r="R13" t="str">
        <f>IF(策划表!M13="","",策划表!M13)</f>
        <v/>
      </c>
      <c r="S13" t="str">
        <f>IF(策划表!N13="","",策划表!N13)</f>
        <v/>
      </c>
      <c r="T13" t="str">
        <f>IF(策划表!O13="","",策划表!O13)</f>
        <v/>
      </c>
      <c r="U13" t="str">
        <f>IF(策划表!P13="","",策划表!P13)</f>
        <v/>
      </c>
      <c r="V13" t="str">
        <f t="shared" si="5"/>
        <v>t_director_option3_1100400</v>
      </c>
      <c r="W13" t="str">
        <f>IF(策划表!Q13="","",策划表!Q13)</f>
        <v/>
      </c>
      <c r="X13" t="str">
        <f>IF(策划表!R13="","",策划表!R13)</f>
        <v/>
      </c>
      <c r="Y13" t="str">
        <f>IF(策划表!S13="","",策划表!S13)</f>
        <v/>
      </c>
    </row>
    <row r="14" spans="1:25" x14ac:dyDescent="0.15">
      <c r="A14">
        <f>策划表!A14</f>
        <v>1100401</v>
      </c>
      <c r="B14" t="str">
        <f>IF(策划表!B14="","",策划表!B14)</f>
        <v>帕莎</v>
      </c>
      <c r="C14" t="str">
        <f t="shared" si="0"/>
        <v>t_director_title_1100401</v>
      </c>
      <c r="D14" t="str">
        <f>IF(策划表!C14="","",策划表!C14)</f>
        <v>伊迪丝？这么说你是冒险者。太好了，我出城寻找食材，看到海边很多螃蟹你能帮我猎杀他们获得蟹肉吗？</v>
      </c>
      <c r="E14" t="str">
        <f t="shared" si="1"/>
        <v>t_director_dialog_1100401</v>
      </c>
      <c r="F14" t="str">
        <f>IF(策划表!D14="","",策划表!D14)</f>
        <v>好的</v>
      </c>
      <c r="G14" t="str">
        <f t="shared" si="2"/>
        <v>t_director_option0_1100401</v>
      </c>
      <c r="H14">
        <f>IF(策划表!E14="","",策划表!E14)</f>
        <v>1</v>
      </c>
      <c r="I14" t="str">
        <f>IF(策划表!F14="","",策划表!F14)</f>
        <v/>
      </c>
      <c r="J14" t="str">
        <f>IF(策划表!G14="","",策划表!G14)</f>
        <v/>
      </c>
      <c r="K14" t="str">
        <f>IF(策划表!H14="","",策划表!H14)</f>
        <v/>
      </c>
      <c r="L14" t="str">
        <f t="shared" si="3"/>
        <v>t_director_option1_1100401</v>
      </c>
      <c r="M14" t="str">
        <f>IF(策划表!I14="","",策划表!I14)</f>
        <v/>
      </c>
      <c r="N14" t="str">
        <f>IF(策划表!J14="","",策划表!J14)</f>
        <v/>
      </c>
      <c r="O14" t="str">
        <f>IF(策划表!K14="","",策划表!K14)</f>
        <v/>
      </c>
      <c r="P14" t="str">
        <f>IF(策划表!L14="","",策划表!L14)</f>
        <v/>
      </c>
      <c r="Q14" t="str">
        <f t="shared" si="4"/>
        <v>t_director_option2_1100401</v>
      </c>
      <c r="R14" t="str">
        <f>IF(策划表!M14="","",策划表!M14)</f>
        <v/>
      </c>
      <c r="S14" t="str">
        <f>IF(策划表!N14="","",策划表!N14)</f>
        <v/>
      </c>
      <c r="T14" t="str">
        <f>IF(策划表!O14="","",策划表!O14)</f>
        <v/>
      </c>
      <c r="U14" t="str">
        <f>IF(策划表!P14="","",策划表!P14)</f>
        <v/>
      </c>
      <c r="V14" t="str">
        <f t="shared" si="5"/>
        <v>t_director_option3_1100401</v>
      </c>
      <c r="W14" t="str">
        <f>IF(策划表!Q14="","",策划表!Q14)</f>
        <v/>
      </c>
      <c r="X14" t="str">
        <f>IF(策划表!R14="","",策划表!R14)</f>
        <v/>
      </c>
      <c r="Y14" t="str">
        <f>IF(策划表!S14="","",策划表!S14)</f>
        <v/>
      </c>
    </row>
    <row r="15" spans="1:25" x14ac:dyDescent="0.15">
      <c r="A15">
        <f>策划表!A15</f>
        <v>1100450</v>
      </c>
      <c r="B15" t="str">
        <f>IF(策划表!B15="","",策划表!B15)</f>
        <v>帕莎</v>
      </c>
      <c r="C15" t="str">
        <f t="shared" si="0"/>
        <v>t_director_title_1100450</v>
      </c>
      <c r="D15" t="str">
        <f>IF(策划表!C15="","",策划表!C15)</f>
        <v>太好了，这样蟹肉就收集好了，谢谢你冒险者。</v>
      </c>
      <c r="E15" t="str">
        <f t="shared" si="1"/>
        <v>t_director_dialog_1100450</v>
      </c>
      <c r="F15" t="str">
        <f>IF(策划表!D15="","",策划表!D15)</f>
        <v>不客气</v>
      </c>
      <c r="G15" t="str">
        <f t="shared" si="2"/>
        <v>t_director_option0_1100450</v>
      </c>
      <c r="H15" t="str">
        <f>IF(策划表!E15="","",策划表!E15)</f>
        <v/>
      </c>
      <c r="I15" t="str">
        <f>IF(策划表!F15="","",策划表!F15)</f>
        <v/>
      </c>
      <c r="J15" t="str">
        <f>IF(策划表!G15="","",策划表!G15)</f>
        <v/>
      </c>
      <c r="K15" t="str">
        <f>IF(策划表!H15="","",策划表!H15)</f>
        <v/>
      </c>
      <c r="L15" t="str">
        <f t="shared" si="3"/>
        <v>t_director_option1_1100450</v>
      </c>
      <c r="M15" t="str">
        <f>IF(策划表!I15="","",策划表!I15)</f>
        <v/>
      </c>
      <c r="N15" t="str">
        <f>IF(策划表!J15="","",策划表!J15)</f>
        <v/>
      </c>
      <c r="O15" t="str">
        <f>IF(策划表!K15="","",策划表!K15)</f>
        <v/>
      </c>
      <c r="P15" t="str">
        <f>IF(策划表!L15="","",策划表!L15)</f>
        <v/>
      </c>
      <c r="Q15" t="str">
        <f t="shared" si="4"/>
        <v>t_director_option2_1100450</v>
      </c>
      <c r="R15" t="str">
        <f>IF(策划表!M15="","",策划表!M15)</f>
        <v/>
      </c>
      <c r="S15" t="str">
        <f>IF(策划表!N15="","",策划表!N15)</f>
        <v/>
      </c>
      <c r="T15" t="str">
        <f>IF(策划表!O15="","",策划表!O15)</f>
        <v/>
      </c>
      <c r="U15" t="str">
        <f>IF(策划表!P15="","",策划表!P15)</f>
        <v/>
      </c>
      <c r="V15" t="str">
        <f t="shared" si="5"/>
        <v>t_director_option3_1100450</v>
      </c>
      <c r="W15" t="str">
        <f>IF(策划表!Q15="","",策划表!Q15)</f>
        <v/>
      </c>
      <c r="X15" t="str">
        <f>IF(策划表!R15="","",策划表!R15)</f>
        <v/>
      </c>
      <c r="Y15" t="str">
        <f>IF(策划表!S15="","",策划表!S15)</f>
        <v/>
      </c>
    </row>
    <row r="16" spans="1:25" x14ac:dyDescent="0.15">
      <c r="A16">
        <f>策划表!A16</f>
        <v>1100451</v>
      </c>
      <c r="B16" t="str">
        <f>IF(策划表!B16="","",策划表!B16)</f>
        <v>帕莎</v>
      </c>
      <c r="C16" t="str">
        <f t="shared" si="0"/>
        <v>t_director_title_1100451</v>
      </c>
      <c r="D16" t="str">
        <f>IF(策划表!C16="","",策划表!C16)</f>
        <v>城外有很多被塞壬的歌神迷惑的渔夫，阁下能帮我讨伐他们，这样我就能回城了。</v>
      </c>
      <c r="E16" t="str">
        <f t="shared" si="1"/>
        <v>t_director_dialog_1100451</v>
      </c>
      <c r="F16" t="str">
        <f>IF(策划表!D16="","",策划表!D16)</f>
        <v>好的</v>
      </c>
      <c r="G16" t="str">
        <f t="shared" si="2"/>
        <v>t_director_option0_1100451</v>
      </c>
      <c r="H16">
        <f>IF(策划表!E16="","",策划表!E16)</f>
        <v>1</v>
      </c>
      <c r="I16" t="str">
        <f>IF(策划表!F16="","",策划表!F16)</f>
        <v/>
      </c>
      <c r="J16" t="str">
        <f>IF(策划表!G16="","",策划表!G16)</f>
        <v/>
      </c>
      <c r="K16" t="str">
        <f>IF(策划表!H16="","",策划表!H16)</f>
        <v/>
      </c>
      <c r="L16" t="str">
        <f t="shared" si="3"/>
        <v>t_director_option1_1100451</v>
      </c>
      <c r="M16" t="str">
        <f>IF(策划表!I16="","",策划表!I16)</f>
        <v/>
      </c>
      <c r="N16" t="str">
        <f>IF(策划表!J16="","",策划表!J16)</f>
        <v/>
      </c>
      <c r="O16" t="str">
        <f>IF(策划表!K16="","",策划表!K16)</f>
        <v/>
      </c>
      <c r="P16" t="str">
        <f>IF(策划表!L16="","",策划表!L16)</f>
        <v/>
      </c>
      <c r="Q16" t="str">
        <f t="shared" si="4"/>
        <v>t_director_option2_1100451</v>
      </c>
      <c r="R16" t="str">
        <f>IF(策划表!M16="","",策划表!M16)</f>
        <v/>
      </c>
      <c r="S16" t="str">
        <f>IF(策划表!N16="","",策划表!N16)</f>
        <v/>
      </c>
      <c r="T16" t="str">
        <f>IF(策划表!O16="","",策划表!O16)</f>
        <v/>
      </c>
      <c r="U16" t="str">
        <f>IF(策划表!P16="","",策划表!P16)</f>
        <v/>
      </c>
      <c r="V16" t="str">
        <f t="shared" si="5"/>
        <v>t_director_option3_1100451</v>
      </c>
      <c r="W16" t="str">
        <f>IF(策划表!Q16="","",策划表!Q16)</f>
        <v/>
      </c>
      <c r="X16" t="str">
        <f>IF(策划表!R16="","",策划表!R16)</f>
        <v/>
      </c>
      <c r="Y16" t="str">
        <f>IF(策划表!S16="","",策划表!S16)</f>
        <v/>
      </c>
    </row>
    <row r="17" spans="1:25" x14ac:dyDescent="0.15">
      <c r="A17">
        <f>策划表!A17</f>
        <v>1100480</v>
      </c>
      <c r="B17" t="str">
        <f>IF(策划表!B17="","",策划表!B17)</f>
        <v>帕莎</v>
      </c>
      <c r="C17" t="str">
        <f t="shared" si="0"/>
        <v>t_director_title_1100480</v>
      </c>
      <c r="D17" t="str">
        <f>IF(策划表!C17="","",策划表!C17)</f>
        <v>阁下，城外的渔夫怎么样了？</v>
      </c>
      <c r="E17" t="str">
        <f t="shared" si="1"/>
        <v>t_director_dialog_1100480</v>
      </c>
      <c r="F17" t="str">
        <f>IF(策划表!D17="","",策划表!D17)</f>
        <v>已经讨伐好了</v>
      </c>
      <c r="G17" t="str">
        <f t="shared" si="2"/>
        <v>t_director_option0_1100480</v>
      </c>
      <c r="H17" t="str">
        <f>IF(策划表!E17="","",策划表!E17)</f>
        <v/>
      </c>
      <c r="I17" t="str">
        <f>IF(策划表!F17="","",策划表!F17)</f>
        <v/>
      </c>
      <c r="J17" t="str">
        <f>IF(策划表!G17="","",策划表!G17)</f>
        <v/>
      </c>
      <c r="K17" t="str">
        <f>IF(策划表!H17="","",策划表!H17)</f>
        <v>我继续去讨伐</v>
      </c>
      <c r="L17" t="str">
        <f t="shared" si="3"/>
        <v>t_director_option1_1100480</v>
      </c>
      <c r="M17">
        <f>IF(策划表!I17="","",策划表!I17)</f>
        <v>2</v>
      </c>
      <c r="N17" t="str">
        <f>IF(策划表!J17="","",策划表!J17)</f>
        <v/>
      </c>
      <c r="O17" t="str">
        <f>IF(策划表!K17="","",策划表!K17)</f>
        <v/>
      </c>
      <c r="P17" t="str">
        <f>IF(策划表!L17="","",策划表!L17)</f>
        <v/>
      </c>
      <c r="Q17" t="str">
        <f t="shared" si="4"/>
        <v>t_director_option2_1100480</v>
      </c>
      <c r="R17" t="str">
        <f>IF(策划表!M17="","",策划表!M17)</f>
        <v/>
      </c>
      <c r="S17" t="str">
        <f>IF(策划表!N17="","",策划表!N17)</f>
        <v/>
      </c>
      <c r="T17" t="str">
        <f>IF(策划表!O17="","",策划表!O17)</f>
        <v/>
      </c>
      <c r="U17" t="str">
        <f>IF(策划表!P17="","",策划表!P17)</f>
        <v/>
      </c>
      <c r="V17" t="str">
        <f t="shared" si="5"/>
        <v>t_director_option3_1100480</v>
      </c>
      <c r="W17" t="str">
        <f>IF(策划表!Q17="","",策划表!Q17)</f>
        <v/>
      </c>
      <c r="X17" t="str">
        <f>IF(策划表!R17="","",策划表!R17)</f>
        <v/>
      </c>
      <c r="Y17" t="str">
        <f>IF(策划表!S17="","",策划表!S17)</f>
        <v/>
      </c>
    </row>
    <row r="18" spans="1:25" x14ac:dyDescent="0.15">
      <c r="A18">
        <f>策划表!A18</f>
        <v>1100481</v>
      </c>
      <c r="B18" t="str">
        <f>IF(策划表!B18="","",策划表!B18)</f>
        <v>帕莎</v>
      </c>
      <c r="C18" t="str">
        <f t="shared" si="0"/>
        <v>t_director_title_1100481</v>
      </c>
      <c r="D18" t="str">
        <f>IF(策划表!C18="","",策划表!C18)</f>
        <v>太好了，我要回城了，谢谢你阁下，也请阁下替我谢谢伊迪丝。</v>
      </c>
      <c r="E18" t="str">
        <f t="shared" si="1"/>
        <v>t_director_dialog_1100481</v>
      </c>
      <c r="F18" t="str">
        <f>IF(策划表!D18="","",策划表!D18)</f>
        <v>好的</v>
      </c>
      <c r="G18" t="str">
        <f t="shared" si="2"/>
        <v>t_director_option0_1100481</v>
      </c>
      <c r="H18">
        <f>IF(策划表!E18="","",策划表!E18)</f>
        <v>1</v>
      </c>
      <c r="I18" t="str">
        <f>IF(策划表!F18="","",策划表!F18)</f>
        <v/>
      </c>
      <c r="J18" t="str">
        <f>IF(策划表!G18="","",策划表!G18)</f>
        <v/>
      </c>
      <c r="K18" t="str">
        <f>IF(策划表!H18="","",策划表!H18)</f>
        <v/>
      </c>
      <c r="L18" t="str">
        <f t="shared" si="3"/>
        <v>t_director_option1_1100481</v>
      </c>
      <c r="M18" t="str">
        <f>IF(策划表!I18="","",策划表!I18)</f>
        <v/>
      </c>
      <c r="N18" t="str">
        <f>IF(策划表!J18="","",策划表!J18)</f>
        <v/>
      </c>
      <c r="O18" t="str">
        <f>IF(策划表!K18="","",策划表!K18)</f>
        <v/>
      </c>
      <c r="P18" t="str">
        <f>IF(策划表!L18="","",策划表!L18)</f>
        <v/>
      </c>
      <c r="Q18" t="str">
        <f t="shared" si="4"/>
        <v>t_director_option2_1100481</v>
      </c>
      <c r="R18" t="str">
        <f>IF(策划表!M18="","",策划表!M18)</f>
        <v/>
      </c>
      <c r="S18" t="str">
        <f>IF(策划表!N18="","",策划表!N18)</f>
        <v/>
      </c>
      <c r="T18" t="str">
        <f>IF(策划表!O18="","",策划表!O18)</f>
        <v/>
      </c>
      <c r="U18" t="str">
        <f>IF(策划表!P18="","",策划表!P18)</f>
        <v/>
      </c>
      <c r="V18" t="str">
        <f t="shared" si="5"/>
        <v>t_director_option3_1100481</v>
      </c>
      <c r="W18" t="str">
        <f>IF(策划表!Q18="","",策划表!Q18)</f>
        <v/>
      </c>
      <c r="X18" t="str">
        <f>IF(策划表!R18="","",策划表!R18)</f>
        <v/>
      </c>
      <c r="Y18" t="str">
        <f>IF(策划表!S18="","",策划表!S18)</f>
        <v/>
      </c>
    </row>
    <row r="19" spans="1:25" x14ac:dyDescent="0.15">
      <c r="A19">
        <f>策划表!A19</f>
        <v>1100500</v>
      </c>
      <c r="B19" t="str">
        <f>IF(策划表!B19="","",策划表!B19)</f>
        <v>伊迪丝</v>
      </c>
      <c r="C19" t="str">
        <f t="shared" si="0"/>
        <v>t_director_title_1100500</v>
      </c>
      <c r="D19" t="str">
        <f>IF(策划表!C19="","",策划表!C19)</f>
        <v>你帮助帕莎了吗?</v>
      </c>
      <c r="E19" t="str">
        <f t="shared" si="1"/>
        <v>t_director_dialog_1100500</v>
      </c>
      <c r="F19" t="str">
        <f>IF(策划表!D19="","",策划表!D19)</f>
        <v>她已经准备回城了</v>
      </c>
      <c r="G19" t="str">
        <f t="shared" si="2"/>
        <v>t_director_option0_1100500</v>
      </c>
      <c r="H19" t="str">
        <f>IF(策划表!E19="","",策划表!E19)</f>
        <v/>
      </c>
      <c r="I19">
        <f>IF(策划表!F19="","",策划表!F19)</f>
        <v>1100501</v>
      </c>
      <c r="J19" t="str">
        <f>IF(策划表!G19="","",策划表!G19)</f>
        <v/>
      </c>
      <c r="K19" t="str">
        <f>IF(策划表!H19="","",策划表!H19)</f>
        <v/>
      </c>
      <c r="L19" t="str">
        <f t="shared" si="3"/>
        <v>t_director_option1_1100500</v>
      </c>
      <c r="M19" t="str">
        <f>IF(策划表!I19="","",策划表!I19)</f>
        <v/>
      </c>
      <c r="N19" t="str">
        <f>IF(策划表!J19="","",策划表!J19)</f>
        <v/>
      </c>
      <c r="O19" t="str">
        <f>IF(策划表!K19="","",策划表!K19)</f>
        <v/>
      </c>
      <c r="P19" t="str">
        <f>IF(策划表!L19="","",策划表!L19)</f>
        <v/>
      </c>
      <c r="Q19" t="str">
        <f t="shared" si="4"/>
        <v>t_director_option2_1100500</v>
      </c>
      <c r="R19" t="str">
        <f>IF(策划表!M19="","",策划表!M19)</f>
        <v/>
      </c>
      <c r="S19" t="str">
        <f>IF(策划表!N19="","",策划表!N19)</f>
        <v/>
      </c>
      <c r="T19" t="str">
        <f>IF(策划表!O19="","",策划表!O19)</f>
        <v/>
      </c>
      <c r="U19" t="str">
        <f>IF(策划表!P19="","",策划表!P19)</f>
        <v/>
      </c>
      <c r="V19" t="str">
        <f t="shared" si="5"/>
        <v>t_director_option3_1100500</v>
      </c>
      <c r="W19" t="str">
        <f>IF(策划表!Q19="","",策划表!Q19)</f>
        <v/>
      </c>
      <c r="X19" t="str">
        <f>IF(策划表!R19="","",策划表!R19)</f>
        <v/>
      </c>
      <c r="Y19" t="str">
        <f>IF(策划表!S19="","",策划表!S19)</f>
        <v/>
      </c>
    </row>
    <row r="20" spans="1:25" x14ac:dyDescent="0.15">
      <c r="A20">
        <f>策划表!A20</f>
        <v>1100501</v>
      </c>
      <c r="B20" t="str">
        <f>IF(策划表!B20="","",策划表!B20)</f>
        <v>伊迪丝</v>
      </c>
      <c r="C20" t="str">
        <f t="shared" si="0"/>
        <v>t_director_title_1100501</v>
      </c>
      <c r="D20" t="str">
        <f>IF(策划表!C20="","",策划表!C20)</f>
        <v>很好，那你接下来去找城外的汉森，他刚才发来求援信号，看来他有麻烦了。</v>
      </c>
      <c r="E20" t="str">
        <f t="shared" si="1"/>
        <v>t_director_dialog_1100501</v>
      </c>
      <c r="F20" t="str">
        <f>IF(策划表!D20="","",策划表!D20)</f>
        <v>好的</v>
      </c>
      <c r="G20" t="str">
        <f t="shared" si="2"/>
        <v>t_director_option0_1100501</v>
      </c>
      <c r="H20">
        <f>IF(策划表!E20="","",策划表!E20)</f>
        <v>1</v>
      </c>
      <c r="I20" t="str">
        <f>IF(策划表!F20="","",策划表!F20)</f>
        <v/>
      </c>
      <c r="J20" t="str">
        <f>IF(策划表!G20="","",策划表!G20)</f>
        <v/>
      </c>
      <c r="K20" t="str">
        <f>IF(策划表!H20="","",策划表!H20)</f>
        <v/>
      </c>
      <c r="L20" t="str">
        <f t="shared" si="3"/>
        <v>t_director_option1_1100501</v>
      </c>
      <c r="M20" t="str">
        <f>IF(策划表!I20="","",策划表!I20)</f>
        <v/>
      </c>
      <c r="N20" t="str">
        <f>IF(策划表!J20="","",策划表!J20)</f>
        <v/>
      </c>
      <c r="O20" t="str">
        <f>IF(策划表!K20="","",策划表!K20)</f>
        <v/>
      </c>
      <c r="P20" t="str">
        <f>IF(策划表!L20="","",策划表!L20)</f>
        <v/>
      </c>
      <c r="Q20" t="str">
        <f t="shared" si="4"/>
        <v>t_director_option2_1100501</v>
      </c>
      <c r="R20" t="str">
        <f>IF(策划表!M20="","",策划表!M20)</f>
        <v/>
      </c>
      <c r="S20" t="str">
        <f>IF(策划表!N20="","",策划表!N20)</f>
        <v/>
      </c>
      <c r="T20" t="str">
        <f>IF(策划表!O20="","",策划表!O20)</f>
        <v/>
      </c>
      <c r="U20" t="str">
        <f>IF(策划表!P20="","",策划表!P20)</f>
        <v/>
      </c>
      <c r="V20" t="str">
        <f t="shared" si="5"/>
        <v>t_director_option3_1100501</v>
      </c>
      <c r="W20" t="str">
        <f>IF(策划表!Q20="","",策划表!Q20)</f>
        <v/>
      </c>
      <c r="X20" t="str">
        <f>IF(策划表!R20="","",策划表!R20)</f>
        <v/>
      </c>
      <c r="Y20" t="str">
        <f>IF(策划表!S20="","",策划表!S20)</f>
        <v/>
      </c>
    </row>
    <row r="21" spans="1:25" x14ac:dyDescent="0.15">
      <c r="A21">
        <f>策划表!A21</f>
        <v>1100550</v>
      </c>
      <c r="B21" t="str">
        <f>IF(策划表!B21="","",策划表!B21)</f>
        <v>汉森</v>
      </c>
      <c r="C21" t="str">
        <f t="shared" si="0"/>
        <v>t_director_title_1100550</v>
      </c>
      <c r="D21" t="str">
        <f>IF(策划表!C21="","",策划表!C21)</f>
        <v>这个时候出现在城外，你是刷子公会的冒险者?</v>
      </c>
      <c r="E21" t="str">
        <f t="shared" si="1"/>
        <v>t_director_dialog_1100550</v>
      </c>
      <c r="F21" t="str">
        <f>IF(策划表!D21="","",策划表!D21)</f>
        <v>是的</v>
      </c>
      <c r="G21" t="str">
        <f t="shared" si="2"/>
        <v>t_director_option0_1100550</v>
      </c>
      <c r="H21" t="str">
        <f>IF(策划表!E21="","",策划表!E21)</f>
        <v/>
      </c>
      <c r="I21">
        <f>IF(策划表!F21="","",策划表!F21)</f>
        <v>1100551</v>
      </c>
      <c r="J21" t="str">
        <f>IF(策划表!G21="","",策划表!G21)</f>
        <v/>
      </c>
      <c r="K21" t="str">
        <f>IF(策划表!H21="","",策划表!H21)</f>
        <v/>
      </c>
      <c r="L21" t="str">
        <f t="shared" si="3"/>
        <v>t_director_option1_1100550</v>
      </c>
      <c r="M21" t="str">
        <f>IF(策划表!I21="","",策划表!I21)</f>
        <v/>
      </c>
      <c r="N21" t="str">
        <f>IF(策划表!J21="","",策划表!J21)</f>
        <v/>
      </c>
      <c r="O21" t="str">
        <f>IF(策划表!K21="","",策划表!K21)</f>
        <v/>
      </c>
      <c r="P21" t="str">
        <f>IF(策划表!L21="","",策划表!L21)</f>
        <v/>
      </c>
      <c r="Q21" t="str">
        <f t="shared" si="4"/>
        <v>t_director_option2_1100550</v>
      </c>
      <c r="R21" t="str">
        <f>IF(策划表!M21="","",策划表!M21)</f>
        <v/>
      </c>
      <c r="S21" t="str">
        <f>IF(策划表!N21="","",策划表!N21)</f>
        <v/>
      </c>
      <c r="T21" t="str">
        <f>IF(策划表!O21="","",策划表!O21)</f>
        <v/>
      </c>
      <c r="U21" t="str">
        <f>IF(策划表!P21="","",策划表!P21)</f>
        <v/>
      </c>
      <c r="V21" t="str">
        <f t="shared" si="5"/>
        <v>t_director_option3_1100550</v>
      </c>
      <c r="W21" t="str">
        <f>IF(策划表!Q21="","",策划表!Q21)</f>
        <v/>
      </c>
      <c r="X21" t="str">
        <f>IF(策划表!R21="","",策划表!R21)</f>
        <v/>
      </c>
      <c r="Y21" t="str">
        <f>IF(策划表!S21="","",策划表!S21)</f>
        <v/>
      </c>
    </row>
    <row r="22" spans="1:25" x14ac:dyDescent="0.15">
      <c r="A22">
        <f>策划表!A22</f>
        <v>1100551</v>
      </c>
      <c r="B22" t="str">
        <f>IF(策划表!B22="","",策划表!B22)</f>
        <v>汉森</v>
      </c>
      <c r="C22" t="str">
        <f t="shared" si="0"/>
        <v>t_director_title_1100551</v>
      </c>
      <c r="D22" t="str">
        <f>IF(策划表!C22="","",策划表!C22)</f>
        <v>那正好，我是神殿的汉森·卡特，负责围杀该死的异端，我正好需要你的力量。</v>
      </c>
      <c r="E22" t="str">
        <f t="shared" si="1"/>
        <v>t_director_dialog_1100551</v>
      </c>
      <c r="F22" t="str">
        <f>IF(策划表!D22="","",策划表!D22)</f>
        <v>…</v>
      </c>
      <c r="G22" t="str">
        <f t="shared" si="2"/>
        <v>t_director_option0_1100551</v>
      </c>
      <c r="H22" t="str">
        <f>IF(策划表!E22="","",策划表!E22)</f>
        <v/>
      </c>
      <c r="I22">
        <f>IF(策划表!F22="","",策划表!F22)</f>
        <v>1100552</v>
      </c>
      <c r="J22" t="str">
        <f>IF(策划表!G22="","",策划表!G22)</f>
        <v/>
      </c>
      <c r="K22" t="str">
        <f>IF(策划表!H22="","",策划表!H22)</f>
        <v/>
      </c>
      <c r="L22" t="str">
        <f t="shared" si="3"/>
        <v>t_director_option1_1100551</v>
      </c>
      <c r="M22" t="str">
        <f>IF(策划表!I22="","",策划表!I22)</f>
        <v/>
      </c>
      <c r="N22" t="str">
        <f>IF(策划表!J22="","",策划表!J22)</f>
        <v/>
      </c>
      <c r="O22" t="str">
        <f>IF(策划表!K22="","",策划表!K22)</f>
        <v/>
      </c>
      <c r="P22" t="str">
        <f>IF(策划表!L22="","",策划表!L22)</f>
        <v/>
      </c>
      <c r="Q22" t="str">
        <f t="shared" si="4"/>
        <v>t_director_option2_1100551</v>
      </c>
      <c r="R22" t="str">
        <f>IF(策划表!M22="","",策划表!M22)</f>
        <v/>
      </c>
      <c r="S22" t="str">
        <f>IF(策划表!N22="","",策划表!N22)</f>
        <v/>
      </c>
      <c r="T22" t="str">
        <f>IF(策划表!O22="","",策划表!O22)</f>
        <v/>
      </c>
      <c r="U22" t="str">
        <f>IF(策划表!P22="","",策划表!P22)</f>
        <v/>
      </c>
      <c r="V22" t="str">
        <f t="shared" si="5"/>
        <v>t_director_option3_1100551</v>
      </c>
      <c r="W22" t="str">
        <f>IF(策划表!Q22="","",策划表!Q22)</f>
        <v/>
      </c>
      <c r="X22" t="str">
        <f>IF(策划表!R22="","",策划表!R22)</f>
        <v/>
      </c>
      <c r="Y22" t="str">
        <f>IF(策划表!S22="","",策划表!S22)</f>
        <v/>
      </c>
    </row>
    <row r="23" spans="1:25" x14ac:dyDescent="0.15">
      <c r="A23">
        <f>策划表!A23</f>
        <v>1100552</v>
      </c>
      <c r="B23" t="str">
        <f>IF(策划表!B23="","",策划表!B23)</f>
        <v>汉森</v>
      </c>
      <c r="C23" t="str">
        <f t="shared" si="0"/>
        <v>t_director_title_1100552</v>
      </c>
      <c r="D23" t="str">
        <f>IF(策划表!C23="","",策划表!C23)</f>
        <v>巫婆经常在海边不远处的路边为祸，你的任务是讨伐巫婆。</v>
      </c>
      <c r="E23" t="str">
        <f t="shared" si="1"/>
        <v>t_director_dialog_1100552</v>
      </c>
      <c r="F23" t="str">
        <f>IF(策划表!D23="","",策划表!D23)</f>
        <v>好的</v>
      </c>
      <c r="G23" t="str">
        <f t="shared" si="2"/>
        <v>t_director_option0_1100552</v>
      </c>
      <c r="H23" t="str">
        <f>IF(策划表!E23="","",策划表!E23)</f>
        <v/>
      </c>
      <c r="I23">
        <f>IF(策划表!F23="","",策划表!F23)</f>
        <v>1100553</v>
      </c>
      <c r="J23" t="str">
        <f>IF(策划表!G23="","",策划表!G23)</f>
        <v/>
      </c>
      <c r="K23" t="str">
        <f>IF(策划表!H23="","",策划表!H23)</f>
        <v/>
      </c>
      <c r="L23" t="str">
        <f t="shared" si="3"/>
        <v>t_director_option1_1100552</v>
      </c>
      <c r="M23" t="str">
        <f>IF(策划表!I23="","",策划表!I23)</f>
        <v/>
      </c>
      <c r="N23" t="str">
        <f>IF(策划表!J23="","",策划表!J23)</f>
        <v/>
      </c>
      <c r="O23" t="str">
        <f>IF(策划表!K23="","",策划表!K23)</f>
        <v/>
      </c>
      <c r="P23" t="str">
        <f>IF(策划表!L23="","",策划表!L23)</f>
        <v/>
      </c>
      <c r="Q23" t="str">
        <f t="shared" si="4"/>
        <v>t_director_option2_1100552</v>
      </c>
      <c r="R23" t="str">
        <f>IF(策划表!M23="","",策划表!M23)</f>
        <v/>
      </c>
      <c r="S23" t="str">
        <f>IF(策划表!N23="","",策划表!N23)</f>
        <v/>
      </c>
      <c r="T23" t="str">
        <f>IF(策划表!O23="","",策划表!O23)</f>
        <v/>
      </c>
      <c r="U23" t="str">
        <f>IF(策划表!P23="","",策划表!P23)</f>
        <v/>
      </c>
      <c r="V23" t="str">
        <f t="shared" si="5"/>
        <v>t_director_option3_1100552</v>
      </c>
      <c r="W23" t="str">
        <f>IF(策划表!Q23="","",策划表!Q23)</f>
        <v/>
      </c>
      <c r="X23" t="str">
        <f>IF(策划表!R23="","",策划表!R23)</f>
        <v/>
      </c>
      <c r="Y23" t="str">
        <f>IF(策划表!S23="","",策划表!S23)</f>
        <v/>
      </c>
    </row>
    <row r="24" spans="1:25" x14ac:dyDescent="0.15">
      <c r="A24">
        <f>策划表!A24</f>
        <v>1100553</v>
      </c>
      <c r="B24" t="str">
        <f>IF(策划表!B24="","",策划表!B24)</f>
        <v>汉森</v>
      </c>
      <c r="C24" t="str">
        <f t="shared" si="0"/>
        <v>t_director_title_1100553</v>
      </c>
      <c r="D24" t="str">
        <f>IF(策划表!C24="","",策划表!C24)</f>
        <v>哦，对了，坐标43.25周围经常会有物资，你讨伐完巫婆收集一些回来。</v>
      </c>
      <c r="E24" t="str">
        <f t="shared" si="1"/>
        <v>t_director_dialog_1100553</v>
      </c>
      <c r="F24" t="str">
        <f>IF(策划表!D24="","",策划表!D24)</f>
        <v>好的</v>
      </c>
      <c r="G24" t="str">
        <f t="shared" si="2"/>
        <v>t_director_option0_1100553</v>
      </c>
      <c r="H24">
        <f>IF(策划表!E24="","",策划表!E24)</f>
        <v>1</v>
      </c>
      <c r="I24" t="str">
        <f>IF(策划表!F24="","",策划表!F24)</f>
        <v/>
      </c>
      <c r="J24" t="str">
        <f>IF(策划表!G24="","",策划表!G24)</f>
        <v/>
      </c>
      <c r="K24" t="str">
        <f>IF(策划表!H24="","",策划表!H24)</f>
        <v/>
      </c>
      <c r="L24" t="str">
        <f t="shared" si="3"/>
        <v>t_director_option1_1100553</v>
      </c>
      <c r="M24" t="str">
        <f>IF(策划表!I24="","",策划表!I24)</f>
        <v/>
      </c>
      <c r="N24" t="str">
        <f>IF(策划表!J24="","",策划表!J24)</f>
        <v/>
      </c>
      <c r="O24" t="str">
        <f>IF(策划表!K24="","",策划表!K24)</f>
        <v/>
      </c>
      <c r="P24" t="str">
        <f>IF(策划表!L24="","",策划表!L24)</f>
        <v/>
      </c>
      <c r="Q24" t="str">
        <f t="shared" si="4"/>
        <v>t_director_option2_1100553</v>
      </c>
      <c r="R24" t="str">
        <f>IF(策划表!M24="","",策划表!M24)</f>
        <v/>
      </c>
      <c r="S24" t="str">
        <f>IF(策划表!N24="","",策划表!N24)</f>
        <v/>
      </c>
      <c r="T24" t="str">
        <f>IF(策划表!O24="","",策划表!O24)</f>
        <v/>
      </c>
      <c r="U24" t="str">
        <f>IF(策划表!P24="","",策划表!P24)</f>
        <v/>
      </c>
      <c r="V24" t="str">
        <f t="shared" si="5"/>
        <v>t_director_option3_1100553</v>
      </c>
      <c r="W24" t="str">
        <f>IF(策划表!Q24="","",策划表!Q24)</f>
        <v/>
      </c>
      <c r="X24" t="str">
        <f>IF(策划表!R24="","",策划表!R24)</f>
        <v/>
      </c>
      <c r="Y24" t="str">
        <f>IF(策划表!S24="","",策划表!S24)</f>
        <v/>
      </c>
    </row>
    <row r="25" spans="1:25" x14ac:dyDescent="0.15">
      <c r="A25">
        <f>策划表!A25</f>
        <v>1100580</v>
      </c>
      <c r="B25" t="str">
        <f>IF(策划表!B25="","",策划表!B25)</f>
        <v>汉森</v>
      </c>
      <c r="C25" t="str">
        <f t="shared" si="0"/>
        <v>t_director_title_1100580</v>
      </c>
      <c r="D25" t="str">
        <f>IF(策划表!C25="","",策划表!C25)</f>
        <v>冒险者，神殿的任务，你做的怎么样了？</v>
      </c>
      <c r="E25" t="str">
        <f t="shared" si="1"/>
        <v>t_director_dialog_1100580</v>
      </c>
      <c r="F25" t="str">
        <f>IF(策划表!D25="","",策划表!D25)</f>
        <v>交纳物资</v>
      </c>
      <c r="G25" t="str">
        <f t="shared" si="2"/>
        <v>t_director_option0_1100580</v>
      </c>
      <c r="H25" t="str">
        <f>IF(策划表!E25="","",策划表!E25)</f>
        <v/>
      </c>
      <c r="I25">
        <f>IF(策划表!F25="","",策划表!F25)</f>
        <v>1100581</v>
      </c>
      <c r="J25" t="str">
        <f>IF(策划表!G25="","",策划表!G25)</f>
        <v/>
      </c>
      <c r="K25" t="str">
        <f>IF(策划表!H25="","",策划表!H25)</f>
        <v/>
      </c>
      <c r="L25" t="str">
        <f t="shared" si="3"/>
        <v>t_director_option1_1100580</v>
      </c>
      <c r="M25" t="str">
        <f>IF(策划表!I25="","",策划表!I25)</f>
        <v/>
      </c>
      <c r="N25" t="str">
        <f>IF(策划表!J25="","",策划表!J25)</f>
        <v/>
      </c>
      <c r="O25" t="str">
        <f>IF(策划表!K25="","",策划表!K25)</f>
        <v/>
      </c>
      <c r="P25" t="str">
        <f>IF(策划表!L25="","",策划表!L25)</f>
        <v/>
      </c>
      <c r="Q25" t="str">
        <f t="shared" si="4"/>
        <v>t_director_option2_1100580</v>
      </c>
      <c r="R25" t="str">
        <f>IF(策划表!M25="","",策划表!M25)</f>
        <v/>
      </c>
      <c r="S25" t="str">
        <f>IF(策划表!N25="","",策划表!N25)</f>
        <v/>
      </c>
      <c r="T25" t="str">
        <f>IF(策划表!O25="","",策划表!O25)</f>
        <v/>
      </c>
      <c r="U25" t="str">
        <f>IF(策划表!P25="","",策划表!P25)</f>
        <v/>
      </c>
      <c r="V25" t="str">
        <f t="shared" si="5"/>
        <v>t_director_option3_1100580</v>
      </c>
      <c r="W25" t="str">
        <f>IF(策划表!Q25="","",策划表!Q25)</f>
        <v/>
      </c>
      <c r="X25" t="str">
        <f>IF(策划表!R25="","",策划表!R25)</f>
        <v/>
      </c>
      <c r="Y25" t="str">
        <f>IF(策划表!S25="","",策划表!S25)</f>
        <v/>
      </c>
    </row>
    <row r="26" spans="1:25" x14ac:dyDescent="0.15">
      <c r="A26">
        <f>策划表!A26</f>
        <v>1100581</v>
      </c>
      <c r="B26" t="str">
        <f>IF(策划表!B26="","",策划表!B26)</f>
        <v>汉森</v>
      </c>
      <c r="C26" t="str">
        <f t="shared" si="0"/>
        <v>t_director_title_1100581</v>
      </c>
      <c r="D26" t="str">
        <f>IF(策划表!C26="","",策划表!C26)</f>
        <v>还好，算你完成任务了，你回去报告给你的上司吧。</v>
      </c>
      <c r="E26" t="str">
        <f t="shared" si="1"/>
        <v>t_director_dialog_1100581</v>
      </c>
      <c r="F26" t="str">
        <f>IF(策划表!D26="","",策划表!D26)</f>
        <v/>
      </c>
      <c r="G26" t="str">
        <f t="shared" si="2"/>
        <v>t_director_option0_1100581</v>
      </c>
      <c r="H26">
        <f>IF(策划表!E26="","",策划表!E26)</f>
        <v>1</v>
      </c>
      <c r="I26" t="str">
        <f>IF(策划表!F26="","",策划表!F26)</f>
        <v/>
      </c>
      <c r="J26" t="str">
        <f>IF(策划表!G26="","",策划表!G26)</f>
        <v/>
      </c>
      <c r="K26" t="str">
        <f>IF(策划表!H26="","",策划表!H26)</f>
        <v/>
      </c>
      <c r="L26" t="str">
        <f t="shared" si="3"/>
        <v>t_director_option1_1100581</v>
      </c>
      <c r="M26" t="str">
        <f>IF(策划表!I26="","",策划表!I26)</f>
        <v/>
      </c>
      <c r="N26" t="str">
        <f>IF(策划表!J26="","",策划表!J26)</f>
        <v/>
      </c>
      <c r="O26" t="str">
        <f>IF(策划表!K26="","",策划表!K26)</f>
        <v/>
      </c>
      <c r="P26" t="str">
        <f>IF(策划表!L26="","",策划表!L26)</f>
        <v/>
      </c>
      <c r="Q26" t="str">
        <f t="shared" si="4"/>
        <v>t_director_option2_1100581</v>
      </c>
      <c r="R26" t="str">
        <f>IF(策划表!M26="","",策划表!M26)</f>
        <v/>
      </c>
      <c r="S26" t="str">
        <f>IF(策划表!N26="","",策划表!N26)</f>
        <v/>
      </c>
      <c r="T26" t="str">
        <f>IF(策划表!O26="","",策划表!O26)</f>
        <v/>
      </c>
      <c r="U26" t="str">
        <f>IF(策划表!P26="","",策划表!P26)</f>
        <v/>
      </c>
      <c r="V26" t="str">
        <f t="shared" si="5"/>
        <v>t_director_option3_1100581</v>
      </c>
      <c r="W26" t="str">
        <f>IF(策划表!Q26="","",策划表!Q26)</f>
        <v/>
      </c>
      <c r="X26" t="str">
        <f>IF(策划表!R26="","",策划表!R26)</f>
        <v/>
      </c>
      <c r="Y26" t="str">
        <f>IF(策划表!S26="","",策划表!S26)</f>
        <v/>
      </c>
    </row>
    <row r="27" spans="1:25" x14ac:dyDescent="0.15">
      <c r="A27">
        <f>策划表!A27</f>
        <v>1100600</v>
      </c>
      <c r="B27" t="str">
        <f>IF(策划表!B27="","",策划表!B27)</f>
        <v>伊迪丝</v>
      </c>
      <c r="C27" t="str">
        <f t="shared" si="0"/>
        <v>t_director_title_1100600</v>
      </c>
      <c r="D27" t="str">
        <f>IF(策划表!C27="","",策划表!C27)</f>
        <v>汉森那里发生了什么？</v>
      </c>
      <c r="E27" t="str">
        <f t="shared" si="1"/>
        <v>t_director_dialog_1100600</v>
      </c>
      <c r="F27" t="str">
        <f>IF(策划表!D27="","",策划表!D27)</f>
        <v>汉森让我讨伐了巫婆</v>
      </c>
      <c r="G27" t="str">
        <f t="shared" si="2"/>
        <v>t_director_option0_1100600</v>
      </c>
      <c r="H27" t="str">
        <f>IF(策划表!E27="","",策划表!E27)</f>
        <v/>
      </c>
      <c r="I27">
        <f>IF(策划表!F27="","",策划表!F27)</f>
        <v>1100601</v>
      </c>
      <c r="J27" t="str">
        <f>IF(策划表!G27="","",策划表!G27)</f>
        <v/>
      </c>
      <c r="K27" t="str">
        <f>IF(策划表!H27="","",策划表!H27)</f>
        <v/>
      </c>
      <c r="L27" t="str">
        <f t="shared" si="3"/>
        <v>t_director_option1_1100600</v>
      </c>
      <c r="M27" t="str">
        <f>IF(策划表!I27="","",策划表!I27)</f>
        <v/>
      </c>
      <c r="N27" t="str">
        <f>IF(策划表!J27="","",策划表!J27)</f>
        <v/>
      </c>
      <c r="O27" t="str">
        <f>IF(策划表!K27="","",策划表!K27)</f>
        <v/>
      </c>
      <c r="P27" t="str">
        <f>IF(策划表!L27="","",策划表!L27)</f>
        <v/>
      </c>
      <c r="Q27" t="str">
        <f t="shared" si="4"/>
        <v>t_director_option2_1100600</v>
      </c>
      <c r="R27" t="str">
        <f>IF(策划表!M27="","",策划表!M27)</f>
        <v/>
      </c>
      <c r="S27" t="str">
        <f>IF(策划表!N27="","",策划表!N27)</f>
        <v/>
      </c>
      <c r="T27" t="str">
        <f>IF(策划表!O27="","",策划表!O27)</f>
        <v/>
      </c>
      <c r="U27" t="str">
        <f>IF(策划表!P27="","",策划表!P27)</f>
        <v/>
      </c>
      <c r="V27" t="str">
        <f t="shared" si="5"/>
        <v>t_director_option3_1100600</v>
      </c>
      <c r="W27" t="str">
        <f>IF(策划表!Q27="","",策划表!Q27)</f>
        <v/>
      </c>
      <c r="X27" t="str">
        <f>IF(策划表!R27="","",策划表!R27)</f>
        <v/>
      </c>
      <c r="Y27" t="str">
        <f>IF(策划表!S27="","",策划表!S27)</f>
        <v/>
      </c>
    </row>
    <row r="28" spans="1:25" x14ac:dyDescent="0.15">
      <c r="A28">
        <f>策划表!A28</f>
        <v>1100601</v>
      </c>
      <c r="B28" t="str">
        <f>IF(策划表!B28="","",策划表!B28)</f>
        <v>伊迪丝</v>
      </c>
      <c r="C28" t="str">
        <f t="shared" si="0"/>
        <v>t_director_title_1100601</v>
      </c>
      <c r="D28" t="str">
        <f>IF(策划表!C28="","",策划表!C28)</f>
        <v>区区巫婆，神殿的人竟然发求援信号，真是不嫌事大？</v>
      </c>
      <c r="E28" t="str">
        <f t="shared" si="1"/>
        <v>t_director_dialog_1100601</v>
      </c>
      <c r="F28" t="str">
        <f>IF(策划表!D28="","",策划表!D28)</f>
        <v>…</v>
      </c>
      <c r="G28" t="str">
        <f t="shared" si="2"/>
        <v>t_director_option0_1100601</v>
      </c>
      <c r="H28" t="str">
        <f>IF(策划表!E28="","",策划表!E28)</f>
        <v/>
      </c>
      <c r="I28">
        <f>IF(策划表!F28="","",策划表!F28)</f>
        <v>1100602</v>
      </c>
      <c r="J28" t="str">
        <f>IF(策划表!G28="","",策划表!G28)</f>
        <v/>
      </c>
      <c r="K28" t="str">
        <f>IF(策划表!H28="","",策划表!H28)</f>
        <v/>
      </c>
      <c r="L28" t="str">
        <f t="shared" si="3"/>
        <v>t_director_option1_1100601</v>
      </c>
      <c r="M28" t="str">
        <f>IF(策划表!I28="","",策划表!I28)</f>
        <v/>
      </c>
      <c r="N28" t="str">
        <f>IF(策划表!J28="","",策划表!J28)</f>
        <v/>
      </c>
      <c r="O28" t="str">
        <f>IF(策划表!K28="","",策划表!K28)</f>
        <v/>
      </c>
      <c r="P28" t="str">
        <f>IF(策划表!L28="","",策划表!L28)</f>
        <v/>
      </c>
      <c r="Q28" t="str">
        <f t="shared" si="4"/>
        <v>t_director_option2_1100601</v>
      </c>
      <c r="R28" t="str">
        <f>IF(策划表!M28="","",策划表!M28)</f>
        <v/>
      </c>
      <c r="S28" t="str">
        <f>IF(策划表!N28="","",策划表!N28)</f>
        <v/>
      </c>
      <c r="T28" t="str">
        <f>IF(策划表!O28="","",策划表!O28)</f>
        <v/>
      </c>
      <c r="U28" t="str">
        <f>IF(策划表!P28="","",策划表!P28)</f>
        <v/>
      </c>
      <c r="V28" t="str">
        <f t="shared" si="5"/>
        <v>t_director_option3_1100601</v>
      </c>
      <c r="W28" t="str">
        <f>IF(策划表!Q28="","",策划表!Q28)</f>
        <v/>
      </c>
      <c r="X28" t="str">
        <f>IF(策划表!R28="","",策划表!R28)</f>
        <v/>
      </c>
      <c r="Y28" t="str">
        <f>IF(策划表!S28="","",策划表!S28)</f>
        <v/>
      </c>
    </row>
    <row r="29" spans="1:25" x14ac:dyDescent="0.15">
      <c r="A29">
        <f>策划表!A29</f>
        <v>1100602</v>
      </c>
      <c r="B29" t="str">
        <f>IF(策划表!B29="","",策划表!B29)</f>
        <v>伊迪丝</v>
      </c>
      <c r="C29" t="str">
        <f t="shared" si="0"/>
        <v>t_director_title_1100602</v>
      </c>
      <c r="D29" t="str">
        <f>IF(策划表!C29="","",策划表!C29)</f>
        <v>不过，巫婆被神殿驱逐后，就经常作乱，今天，你是为民除害了。</v>
      </c>
      <c r="E29" t="str">
        <f t="shared" si="1"/>
        <v>t_director_dialog_1100602</v>
      </c>
      <c r="F29" t="str">
        <f>IF(策划表!D29="","",策划表!D29)</f>
        <v>…</v>
      </c>
      <c r="G29" t="str">
        <f t="shared" si="2"/>
        <v>t_director_option0_1100602</v>
      </c>
      <c r="H29" t="str">
        <f>IF(策划表!E29="","",策划表!E29)</f>
        <v/>
      </c>
      <c r="I29">
        <f>IF(策划表!F29="","",策划表!F29)</f>
        <v>1100603</v>
      </c>
      <c r="J29" t="str">
        <f>IF(策划表!G29="","",策划表!G29)</f>
        <v/>
      </c>
      <c r="K29" t="str">
        <f>IF(策划表!H29="","",策划表!H29)</f>
        <v>巫婆为什么被神殿驱逐</v>
      </c>
      <c r="L29" t="str">
        <f t="shared" si="3"/>
        <v>t_director_option1_1100602</v>
      </c>
      <c r="M29" t="str">
        <f>IF(策划表!I29="","",策划表!I29)</f>
        <v/>
      </c>
      <c r="N29">
        <f>IF(策划表!J29="","",策划表!J29)</f>
        <v>1100603</v>
      </c>
      <c r="O29" t="str">
        <f>IF(策划表!K29="","",策划表!K29)</f>
        <v/>
      </c>
      <c r="P29" t="str">
        <f>IF(策划表!L29="","",策划表!L29)</f>
        <v/>
      </c>
      <c r="Q29" t="str">
        <f t="shared" si="4"/>
        <v>t_director_option2_1100602</v>
      </c>
      <c r="R29" t="str">
        <f>IF(策划表!M29="","",策划表!M29)</f>
        <v/>
      </c>
      <c r="S29" t="str">
        <f>IF(策划表!N29="","",策划表!N29)</f>
        <v/>
      </c>
      <c r="T29" t="str">
        <f>IF(策划表!O29="","",策划表!O29)</f>
        <v/>
      </c>
      <c r="U29" t="str">
        <f>IF(策划表!P29="","",策划表!P29)</f>
        <v/>
      </c>
      <c r="V29" t="str">
        <f t="shared" si="5"/>
        <v>t_director_option3_1100602</v>
      </c>
      <c r="W29" t="str">
        <f>IF(策划表!Q29="","",策划表!Q29)</f>
        <v/>
      </c>
      <c r="X29" t="str">
        <f>IF(策划表!R29="","",策划表!R29)</f>
        <v/>
      </c>
      <c r="Y29" t="str">
        <f>IF(策划表!S29="","",策划表!S29)</f>
        <v/>
      </c>
    </row>
    <row r="30" spans="1:25" x14ac:dyDescent="0.15">
      <c r="A30">
        <f>策划表!A30</f>
        <v>1100603</v>
      </c>
      <c r="B30" t="str">
        <f>IF(策划表!B30="","",策划表!B30)</f>
        <v>伊迪丝</v>
      </c>
      <c r="C30" t="str">
        <f t="shared" si="0"/>
        <v>t_director_title_1100603</v>
      </c>
      <c r="D30" t="str">
        <f>IF(策划表!C30="","",策划表!C30)</f>
        <v>不说这些。接下来你还有任务。不过作为冒险者，你最好打造一套属于你的装备。</v>
      </c>
      <c r="E30" t="str">
        <f t="shared" si="1"/>
        <v>t_director_dialog_1100603</v>
      </c>
      <c r="F30" t="str">
        <f>IF(策划表!D30="","",策划表!D30)</f>
        <v>怎么打造？</v>
      </c>
      <c r="G30" t="str">
        <f t="shared" si="2"/>
        <v>t_director_option0_1100603</v>
      </c>
      <c r="H30" t="str">
        <f>IF(策划表!E30="","",策划表!E30)</f>
        <v/>
      </c>
      <c r="I30">
        <f>IF(策划表!F30="","",策划表!F30)</f>
        <v>1100604</v>
      </c>
      <c r="J30" t="str">
        <f>IF(策划表!G30="","",策划表!G30)</f>
        <v/>
      </c>
      <c r="K30" t="str">
        <f>IF(策划表!H30="","",策划表!H30)</f>
        <v/>
      </c>
      <c r="L30" t="str">
        <f t="shared" si="3"/>
        <v>t_director_option1_1100603</v>
      </c>
      <c r="M30" t="str">
        <f>IF(策划表!I30="","",策划表!I30)</f>
        <v/>
      </c>
      <c r="N30" t="str">
        <f>IF(策划表!J30="","",策划表!J30)</f>
        <v/>
      </c>
      <c r="O30" t="str">
        <f>IF(策划表!K30="","",策划表!K30)</f>
        <v/>
      </c>
      <c r="P30" t="str">
        <f>IF(策划表!L30="","",策划表!L30)</f>
        <v/>
      </c>
      <c r="Q30" t="str">
        <f t="shared" si="4"/>
        <v>t_director_option2_1100603</v>
      </c>
      <c r="R30" t="str">
        <f>IF(策划表!M30="","",策划表!M30)</f>
        <v/>
      </c>
      <c r="S30" t="str">
        <f>IF(策划表!N30="","",策划表!N30)</f>
        <v/>
      </c>
      <c r="T30" t="str">
        <f>IF(策划表!O30="","",策划表!O30)</f>
        <v/>
      </c>
      <c r="U30" t="str">
        <f>IF(策划表!P30="","",策划表!P30)</f>
        <v/>
      </c>
      <c r="V30" t="str">
        <f t="shared" si="5"/>
        <v>t_director_option3_1100603</v>
      </c>
      <c r="W30" t="str">
        <f>IF(策划表!Q30="","",策划表!Q30)</f>
        <v/>
      </c>
      <c r="X30" t="str">
        <f>IF(策划表!R30="","",策划表!R30)</f>
        <v/>
      </c>
      <c r="Y30" t="str">
        <f>IF(策划表!S30="","",策划表!S30)</f>
        <v/>
      </c>
    </row>
    <row r="31" spans="1:25" x14ac:dyDescent="0.15">
      <c r="A31">
        <f>策划表!A31</f>
        <v>1100604</v>
      </c>
      <c r="B31" t="str">
        <f>IF(策划表!B31="","",策划表!B31)</f>
        <v>伊迪丝</v>
      </c>
      <c r="C31" t="str">
        <f t="shared" si="0"/>
        <v>t_director_title_1100604</v>
      </c>
      <c r="D31" t="str">
        <f>IF(策划表!C31="","",策划表!C31)</f>
        <v>在坐标60.43处，38.12处，53.33处有野熊，他们的皮很适合做防具的材料。你去狩猎野熊获得他们的皮，去锻造所就可以打造了。</v>
      </c>
      <c r="E31" t="str">
        <f t="shared" si="1"/>
        <v>t_director_dialog_1100604</v>
      </c>
      <c r="F31" t="str">
        <f>IF(策划表!D31="","",策划表!D31)</f>
        <v>好的</v>
      </c>
      <c r="G31" t="str">
        <f t="shared" si="2"/>
        <v>t_director_option0_1100604</v>
      </c>
      <c r="H31">
        <f>IF(策划表!E31="","",策划表!E31)</f>
        <v>1</v>
      </c>
      <c r="I31" t="str">
        <f>IF(策划表!F31="","",策划表!F31)</f>
        <v/>
      </c>
      <c r="J31" t="str">
        <f>IF(策划表!G31="","",策划表!G31)</f>
        <v/>
      </c>
      <c r="K31" t="str">
        <f>IF(策划表!H31="","",策划表!H31)</f>
        <v/>
      </c>
      <c r="L31" t="str">
        <f t="shared" si="3"/>
        <v>t_director_option1_1100604</v>
      </c>
      <c r="M31" t="str">
        <f>IF(策划表!I31="","",策划表!I31)</f>
        <v/>
      </c>
      <c r="N31" t="str">
        <f>IF(策划表!J31="","",策划表!J31)</f>
        <v/>
      </c>
      <c r="O31" t="str">
        <f>IF(策划表!K31="","",策划表!K31)</f>
        <v/>
      </c>
      <c r="P31" t="str">
        <f>IF(策划表!L31="","",策划表!L31)</f>
        <v/>
      </c>
      <c r="Q31" t="str">
        <f t="shared" si="4"/>
        <v>t_director_option2_1100604</v>
      </c>
      <c r="R31" t="str">
        <f>IF(策划表!M31="","",策划表!M31)</f>
        <v/>
      </c>
      <c r="S31" t="str">
        <f>IF(策划表!N31="","",策划表!N31)</f>
        <v/>
      </c>
      <c r="T31" t="str">
        <f>IF(策划表!O31="","",策划表!O31)</f>
        <v/>
      </c>
      <c r="U31" t="str">
        <f>IF(策划表!P31="","",策划表!P31)</f>
        <v/>
      </c>
      <c r="V31" t="str">
        <f t="shared" si="5"/>
        <v>t_director_option3_1100604</v>
      </c>
      <c r="W31" t="str">
        <f>IF(策划表!Q31="","",策划表!Q31)</f>
        <v/>
      </c>
      <c r="X31" t="str">
        <f>IF(策划表!R31="","",策划表!R31)</f>
        <v/>
      </c>
      <c r="Y31" t="str">
        <f>IF(策划表!S31="","",策划表!S31)</f>
        <v/>
      </c>
    </row>
    <row r="32" spans="1:25" x14ac:dyDescent="0.15">
      <c r="A32">
        <f>策划表!A32</f>
        <v>1100700</v>
      </c>
      <c r="B32" t="str">
        <f>IF(策划表!B32="","",策划表!B32)</f>
        <v>伊迪丝</v>
      </c>
      <c r="C32" t="str">
        <f t="shared" si="0"/>
        <v>t_director_title_1100700</v>
      </c>
      <c r="D32" t="str">
        <f>IF(策划表!C32="","",策划表!C32)</f>
        <v>装备了新的装备，你看起来精神多了。</v>
      </c>
      <c r="E32" t="str">
        <f t="shared" si="1"/>
        <v>t_director_dialog_1100700</v>
      </c>
      <c r="F32" t="str">
        <f>IF(策划表!D32="","",策划表!D32)</f>
        <v>…</v>
      </c>
      <c r="G32" t="str">
        <f t="shared" si="2"/>
        <v>t_director_option0_1100700</v>
      </c>
      <c r="H32" t="str">
        <f>IF(策划表!E32="","",策划表!E32)</f>
        <v/>
      </c>
      <c r="I32">
        <f>IF(策划表!F32="","",策划表!F32)</f>
        <v>1100701</v>
      </c>
      <c r="J32" t="str">
        <f>IF(策划表!G32="","",策划表!G32)</f>
        <v/>
      </c>
      <c r="K32" t="str">
        <f>IF(策划表!H32="","",策划表!H32)</f>
        <v/>
      </c>
      <c r="L32" t="str">
        <f t="shared" si="3"/>
        <v>t_director_option1_1100700</v>
      </c>
      <c r="M32" t="str">
        <f>IF(策划表!I32="","",策划表!I32)</f>
        <v/>
      </c>
      <c r="N32" t="str">
        <f>IF(策划表!J32="","",策划表!J32)</f>
        <v/>
      </c>
      <c r="O32" t="str">
        <f>IF(策划表!K32="","",策划表!K32)</f>
        <v/>
      </c>
      <c r="P32" t="str">
        <f>IF(策划表!L32="","",策划表!L32)</f>
        <v/>
      </c>
      <c r="Q32" t="str">
        <f t="shared" si="4"/>
        <v>t_director_option2_1100700</v>
      </c>
      <c r="R32" t="str">
        <f>IF(策划表!M32="","",策划表!M32)</f>
        <v/>
      </c>
      <c r="S32" t="str">
        <f>IF(策划表!N32="","",策划表!N32)</f>
        <v/>
      </c>
      <c r="T32" t="str">
        <f>IF(策划表!O32="","",策划表!O32)</f>
        <v/>
      </c>
      <c r="U32" t="str">
        <f>IF(策划表!P32="","",策划表!P32)</f>
        <v/>
      </c>
      <c r="V32" t="str">
        <f t="shared" si="5"/>
        <v>t_director_option3_1100700</v>
      </c>
      <c r="W32" t="str">
        <f>IF(策划表!Q32="","",策划表!Q32)</f>
        <v/>
      </c>
      <c r="X32" t="str">
        <f>IF(策划表!R32="","",策划表!R32)</f>
        <v/>
      </c>
      <c r="Y32" t="str">
        <f>IF(策划表!S32="","",策划表!S32)</f>
        <v/>
      </c>
    </row>
    <row r="33" spans="1:25" x14ac:dyDescent="0.15">
      <c r="A33">
        <f>策划表!A33</f>
        <v>1100701</v>
      </c>
      <c r="B33" t="str">
        <f>IF(策划表!B33="","",策划表!B33)</f>
        <v>伊迪丝</v>
      </c>
      <c r="C33" t="str">
        <f t="shared" si="0"/>
        <v>t_director_title_1100701</v>
      </c>
      <c r="D33" t="str">
        <f>IF(策划表!C33="","",策划表!C33)</f>
        <v>在西边卡拉尔山脉和大海的中间，坐标21.51周围，那里最近被盗贼占领了。</v>
      </c>
      <c r="E33" t="str">
        <f t="shared" si="1"/>
        <v>t_director_dialog_1100701</v>
      </c>
      <c r="F33" t="str">
        <f>IF(策划表!D33="","",策划表!D33)</f>
        <v>…</v>
      </c>
      <c r="G33" t="str">
        <f t="shared" si="2"/>
        <v>t_director_option0_1100701</v>
      </c>
      <c r="H33" t="str">
        <f>IF(策划表!E33="","",策划表!E33)</f>
        <v/>
      </c>
      <c r="I33">
        <f>IF(策划表!F33="","",策划表!F33)</f>
        <v>1100702</v>
      </c>
      <c r="J33" t="str">
        <f>IF(策划表!G33="","",策划表!G33)</f>
        <v/>
      </c>
      <c r="K33" t="str">
        <f>IF(策划表!H33="","",策划表!H33)</f>
        <v/>
      </c>
      <c r="L33" t="str">
        <f t="shared" si="3"/>
        <v>t_director_option1_1100701</v>
      </c>
      <c r="M33" t="str">
        <f>IF(策划表!I33="","",策划表!I33)</f>
        <v/>
      </c>
      <c r="N33" t="str">
        <f>IF(策划表!J33="","",策划表!J33)</f>
        <v/>
      </c>
      <c r="O33" t="str">
        <f>IF(策划表!K33="","",策划表!K33)</f>
        <v/>
      </c>
      <c r="P33" t="str">
        <f>IF(策划表!L33="","",策划表!L33)</f>
        <v/>
      </c>
      <c r="Q33" t="str">
        <f t="shared" si="4"/>
        <v>t_director_option2_1100701</v>
      </c>
      <c r="R33" t="str">
        <f>IF(策划表!M33="","",策划表!M33)</f>
        <v/>
      </c>
      <c r="S33" t="str">
        <f>IF(策划表!N33="","",策划表!N33)</f>
        <v/>
      </c>
      <c r="T33" t="str">
        <f>IF(策划表!O33="","",策划表!O33)</f>
        <v/>
      </c>
      <c r="U33" t="str">
        <f>IF(策划表!P33="","",策划表!P33)</f>
        <v/>
      </c>
      <c r="V33" t="str">
        <f t="shared" si="5"/>
        <v>t_director_option3_1100701</v>
      </c>
      <c r="W33" t="str">
        <f>IF(策划表!Q33="","",策划表!Q33)</f>
        <v/>
      </c>
      <c r="X33" t="str">
        <f>IF(策划表!R33="","",策划表!R33)</f>
        <v/>
      </c>
      <c r="Y33" t="str">
        <f>IF(策划表!S33="","",策划表!S33)</f>
        <v/>
      </c>
    </row>
    <row r="34" spans="1:25" x14ac:dyDescent="0.15">
      <c r="A34">
        <f>策划表!A34</f>
        <v>1100702</v>
      </c>
      <c r="B34" t="str">
        <f>IF(策划表!B34="","",策划表!B34)</f>
        <v>伊迪丝</v>
      </c>
      <c r="C34" t="str">
        <f t="shared" si="0"/>
        <v>t_director_title_1100702</v>
      </c>
      <c r="D34" t="str">
        <f>IF(策划表!C34="","",策划表!C34)</f>
        <v>接下来你的任务就是讨伐掉那里的盗贼。</v>
      </c>
      <c r="E34" t="str">
        <f t="shared" si="1"/>
        <v>t_director_dialog_1100702</v>
      </c>
      <c r="F34" t="str">
        <f>IF(策划表!D34="","",策划表!D34)</f>
        <v>好的</v>
      </c>
      <c r="G34" t="str">
        <f t="shared" si="2"/>
        <v>t_director_option0_1100702</v>
      </c>
      <c r="H34">
        <f>IF(策划表!E34="","",策划表!E34)</f>
        <v>1</v>
      </c>
      <c r="I34" t="str">
        <f>IF(策划表!F34="","",策划表!F34)</f>
        <v/>
      </c>
      <c r="J34" t="str">
        <f>IF(策划表!G34="","",策划表!G34)</f>
        <v/>
      </c>
      <c r="K34" t="str">
        <f>IF(策划表!H34="","",策划表!H34)</f>
        <v/>
      </c>
      <c r="L34" t="str">
        <f t="shared" si="3"/>
        <v>t_director_option1_1100702</v>
      </c>
      <c r="M34" t="str">
        <f>IF(策划表!I34="","",策划表!I34)</f>
        <v/>
      </c>
      <c r="N34" t="str">
        <f>IF(策划表!J34="","",策划表!J34)</f>
        <v/>
      </c>
      <c r="O34" t="str">
        <f>IF(策划表!K34="","",策划表!K34)</f>
        <v/>
      </c>
      <c r="P34" t="str">
        <f>IF(策划表!L34="","",策划表!L34)</f>
        <v/>
      </c>
      <c r="Q34" t="str">
        <f t="shared" si="4"/>
        <v>t_director_option2_1100702</v>
      </c>
      <c r="R34" t="str">
        <f>IF(策划表!M34="","",策划表!M34)</f>
        <v/>
      </c>
      <c r="S34" t="str">
        <f>IF(策划表!N34="","",策划表!N34)</f>
        <v/>
      </c>
      <c r="T34" t="str">
        <f>IF(策划表!O34="","",策划表!O34)</f>
        <v/>
      </c>
      <c r="U34" t="str">
        <f>IF(策划表!P34="","",策划表!P34)</f>
        <v/>
      </c>
      <c r="V34" t="str">
        <f t="shared" si="5"/>
        <v>t_director_option3_1100702</v>
      </c>
      <c r="W34" t="str">
        <f>IF(策划表!Q34="","",策划表!Q34)</f>
        <v/>
      </c>
      <c r="X34" t="str">
        <f>IF(策划表!R34="","",策划表!R34)</f>
        <v/>
      </c>
      <c r="Y34" t="str">
        <f>IF(策划表!S34="","",策划表!S34)</f>
        <v/>
      </c>
    </row>
    <row r="35" spans="1:25" x14ac:dyDescent="0.15">
      <c r="A35">
        <f>策划表!A35</f>
        <v>1100800</v>
      </c>
      <c r="B35" t="str">
        <f>IF(策划表!B35="","",策划表!B35)</f>
        <v>伊迪丝</v>
      </c>
      <c r="C35" t="str">
        <f t="shared" si="0"/>
        <v>t_director_title_1100800</v>
      </c>
      <c r="D35" t="str">
        <f>IF(策划表!C35="","",策划表!C35)</f>
        <v>你讨伐了盗贼吗？</v>
      </c>
      <c r="E35" t="str">
        <f t="shared" si="1"/>
        <v>t_director_dialog_1100800</v>
      </c>
      <c r="F35" t="str">
        <f>IF(策划表!D35="","",策划表!D35)</f>
        <v>盗贼已被我击杀</v>
      </c>
      <c r="G35" t="str">
        <f t="shared" si="2"/>
        <v>t_director_option0_1100800</v>
      </c>
      <c r="H35" t="str">
        <f>IF(策划表!E35="","",策划表!E35)</f>
        <v/>
      </c>
      <c r="I35">
        <f>IF(策划表!F35="","",策划表!F35)</f>
        <v>1100802</v>
      </c>
      <c r="J35" t="str">
        <f>IF(策划表!G35="","",策划表!G35)</f>
        <v/>
      </c>
      <c r="K35" t="str">
        <f>IF(策划表!H35="","",策划表!H35)</f>
        <v>我还没去，我这就去</v>
      </c>
      <c r="L35" t="str">
        <f t="shared" si="3"/>
        <v>t_director_option1_1100800</v>
      </c>
      <c r="M35" t="str">
        <f>IF(策划表!I35="","",策划表!I35)</f>
        <v/>
      </c>
      <c r="N35">
        <f>IF(策划表!J35="","",策划表!J35)</f>
        <v>1100801</v>
      </c>
      <c r="O35" t="str">
        <f>IF(策划表!K35="","",策划表!K35)</f>
        <v/>
      </c>
      <c r="P35" t="str">
        <f>IF(策划表!L35="","",策划表!L35)</f>
        <v/>
      </c>
      <c r="Q35" t="str">
        <f t="shared" si="4"/>
        <v>t_director_option2_1100800</v>
      </c>
      <c r="R35" t="str">
        <f>IF(策划表!M35="","",策划表!M35)</f>
        <v/>
      </c>
      <c r="S35" t="str">
        <f>IF(策划表!N35="","",策划表!N35)</f>
        <v/>
      </c>
      <c r="T35" t="str">
        <f>IF(策划表!O35="","",策划表!O35)</f>
        <v/>
      </c>
      <c r="U35" t="str">
        <f>IF(策划表!P35="","",策划表!P35)</f>
        <v/>
      </c>
      <c r="V35" t="str">
        <f t="shared" si="5"/>
        <v>t_director_option3_1100800</v>
      </c>
      <c r="W35" t="str">
        <f>IF(策划表!Q35="","",策划表!Q35)</f>
        <v/>
      </c>
      <c r="X35" t="str">
        <f>IF(策划表!R35="","",策划表!R35)</f>
        <v/>
      </c>
      <c r="Y35" t="str">
        <f>IF(策划表!S35="","",策划表!S35)</f>
        <v/>
      </c>
    </row>
    <row r="36" spans="1:25" x14ac:dyDescent="0.15">
      <c r="A36">
        <f>策划表!A36</f>
        <v>1100801</v>
      </c>
      <c r="B36" t="str">
        <f>IF(策划表!B36="","",策划表!B36)</f>
        <v>伊迪丝</v>
      </c>
      <c r="C36" t="str">
        <f t="shared" si="0"/>
        <v>t_director_title_1100801</v>
      </c>
      <c r="D36" t="str">
        <f>IF(策划表!C36="","",策划表!C36)</f>
        <v>加油，冒险者。</v>
      </c>
      <c r="E36" t="str">
        <f t="shared" si="1"/>
        <v>t_director_dialog_1100801</v>
      </c>
      <c r="F36" t="str">
        <f>IF(策划表!D36="","",策划表!D36)</f>
        <v>…</v>
      </c>
      <c r="G36" t="str">
        <f t="shared" si="2"/>
        <v>t_director_option0_1100801</v>
      </c>
      <c r="H36">
        <f>IF(策划表!E36="","",策划表!E36)</f>
        <v>2</v>
      </c>
      <c r="I36" t="str">
        <f>IF(策划表!F36="","",策划表!F36)</f>
        <v/>
      </c>
      <c r="J36" t="str">
        <f>IF(策划表!G36="","",策划表!G36)</f>
        <v/>
      </c>
      <c r="K36" t="str">
        <f>IF(策划表!H36="","",策划表!H36)</f>
        <v/>
      </c>
      <c r="L36" t="str">
        <f t="shared" si="3"/>
        <v>t_director_option1_1100801</v>
      </c>
      <c r="M36" t="str">
        <f>IF(策划表!I36="","",策划表!I36)</f>
        <v/>
      </c>
      <c r="N36" t="str">
        <f>IF(策划表!J36="","",策划表!J36)</f>
        <v/>
      </c>
      <c r="O36" t="str">
        <f>IF(策划表!K36="","",策划表!K36)</f>
        <v/>
      </c>
      <c r="P36" t="str">
        <f>IF(策划表!L36="","",策划表!L36)</f>
        <v/>
      </c>
      <c r="Q36" t="str">
        <f t="shared" si="4"/>
        <v>t_director_option2_1100801</v>
      </c>
      <c r="R36" t="str">
        <f>IF(策划表!M36="","",策划表!M36)</f>
        <v/>
      </c>
      <c r="S36" t="str">
        <f>IF(策划表!N36="","",策划表!N36)</f>
        <v/>
      </c>
      <c r="T36" t="str">
        <f>IF(策划表!O36="","",策划表!O36)</f>
        <v/>
      </c>
      <c r="U36" t="str">
        <f>IF(策划表!P36="","",策划表!P36)</f>
        <v/>
      </c>
      <c r="V36" t="str">
        <f t="shared" si="5"/>
        <v>t_director_option3_1100801</v>
      </c>
      <c r="W36" t="str">
        <f>IF(策划表!Q36="","",策划表!Q36)</f>
        <v/>
      </c>
      <c r="X36" t="str">
        <f>IF(策划表!R36="","",策划表!R36)</f>
        <v/>
      </c>
      <c r="Y36" t="str">
        <f>IF(策划表!S36="","",策划表!S36)</f>
        <v/>
      </c>
    </row>
    <row r="37" spans="1:25" x14ac:dyDescent="0.15">
      <c r="A37">
        <f>策划表!A37</f>
        <v>1100802</v>
      </c>
      <c r="B37" t="str">
        <f>IF(策划表!B37="","",策划表!B37)</f>
        <v>伊迪丝</v>
      </c>
      <c r="C37" t="str">
        <f t="shared" si="0"/>
        <v>t_director_title_1100802</v>
      </c>
      <c r="D37" t="str">
        <f>IF(策划表!C37="","",策划表!C37)</f>
        <v>你圆满的完成了试炼任务。</v>
      </c>
      <c r="E37" t="str">
        <f t="shared" si="1"/>
        <v>t_director_dialog_1100802</v>
      </c>
      <c r="F37" t="str">
        <f>IF(策划表!D37="","",策划表!D37)</f>
        <v>…</v>
      </c>
      <c r="G37" t="str">
        <f t="shared" si="2"/>
        <v>t_director_option0_1100802</v>
      </c>
      <c r="H37" t="str">
        <f>IF(策划表!E37="","",策划表!E37)</f>
        <v/>
      </c>
      <c r="I37">
        <f>IF(策划表!F37="","",策划表!F37)</f>
        <v>1100803</v>
      </c>
      <c r="J37" t="str">
        <f>IF(策划表!G37="","",策划表!G37)</f>
        <v/>
      </c>
      <c r="K37" t="str">
        <f>IF(策划表!H37="","",策划表!H37)</f>
        <v/>
      </c>
      <c r="L37" t="str">
        <f t="shared" si="3"/>
        <v>t_director_option1_1100802</v>
      </c>
      <c r="M37" t="str">
        <f>IF(策划表!I37="","",策划表!I37)</f>
        <v/>
      </c>
      <c r="N37" t="str">
        <f>IF(策划表!J37="","",策划表!J37)</f>
        <v/>
      </c>
      <c r="O37" t="str">
        <f>IF(策划表!K37="","",策划表!K37)</f>
        <v/>
      </c>
      <c r="P37" t="str">
        <f>IF(策划表!L37="","",策划表!L37)</f>
        <v/>
      </c>
      <c r="Q37" t="str">
        <f t="shared" si="4"/>
        <v>t_director_option2_1100802</v>
      </c>
      <c r="R37" t="str">
        <f>IF(策划表!M37="","",策划表!M37)</f>
        <v/>
      </c>
      <c r="S37" t="str">
        <f>IF(策划表!N37="","",策划表!N37)</f>
        <v/>
      </c>
      <c r="T37" t="str">
        <f>IF(策划表!O37="","",策划表!O37)</f>
        <v/>
      </c>
      <c r="U37" t="str">
        <f>IF(策划表!P37="","",策划表!P37)</f>
        <v/>
      </c>
      <c r="V37" t="str">
        <f t="shared" si="5"/>
        <v>t_director_option3_1100802</v>
      </c>
      <c r="W37" t="str">
        <f>IF(策划表!Q37="","",策划表!Q37)</f>
        <v/>
      </c>
      <c r="X37" t="str">
        <f>IF(策划表!R37="","",策划表!R37)</f>
        <v/>
      </c>
      <c r="Y37" t="str">
        <f>IF(策划表!S37="","",策划表!S37)</f>
        <v/>
      </c>
    </row>
    <row r="38" spans="1:25" x14ac:dyDescent="0.15">
      <c r="A38">
        <f>策划表!A38</f>
        <v>1100803</v>
      </c>
      <c r="B38" t="str">
        <f>IF(策划表!B38="","",策划表!B38)</f>
        <v>伊迪丝</v>
      </c>
      <c r="C38" t="str">
        <f t="shared" si="0"/>
        <v>t_director_title_1100803</v>
      </c>
      <c r="D38" t="str">
        <f>IF(策划表!C38="","",策划表!C38)</f>
        <v>不过，你还有笔试考核要回答。</v>
      </c>
      <c r="E38" t="str">
        <f t="shared" si="1"/>
        <v>t_director_dialog_1100803</v>
      </c>
      <c r="F38" t="str">
        <f>IF(策划表!D38="","",策划表!D38)</f>
        <v>…</v>
      </c>
      <c r="G38" t="str">
        <f t="shared" si="2"/>
        <v>t_director_option0_1100803</v>
      </c>
      <c r="H38" t="str">
        <f>IF(策划表!E38="","",策划表!E38)</f>
        <v/>
      </c>
      <c r="I38">
        <f>IF(策划表!F38="","",策划表!F38)</f>
        <v>1100804</v>
      </c>
      <c r="J38" t="str">
        <f>IF(策划表!G38="","",策划表!G38)</f>
        <v/>
      </c>
      <c r="K38" t="str">
        <f>IF(策划表!H38="","",策划表!H38)</f>
        <v/>
      </c>
      <c r="L38" t="str">
        <f t="shared" si="3"/>
        <v>t_director_option1_1100803</v>
      </c>
      <c r="M38" t="str">
        <f>IF(策划表!I38="","",策划表!I38)</f>
        <v/>
      </c>
      <c r="N38" t="str">
        <f>IF(策划表!J38="","",策划表!J38)</f>
        <v/>
      </c>
      <c r="O38" t="str">
        <f>IF(策划表!K38="","",策划表!K38)</f>
        <v/>
      </c>
      <c r="P38" t="str">
        <f>IF(策划表!L38="","",策划表!L38)</f>
        <v/>
      </c>
      <c r="Q38" t="str">
        <f t="shared" si="4"/>
        <v>t_director_option2_1100803</v>
      </c>
      <c r="R38" t="str">
        <f>IF(策划表!M38="","",策划表!M38)</f>
        <v/>
      </c>
      <c r="S38" t="str">
        <f>IF(策划表!N38="","",策划表!N38)</f>
        <v/>
      </c>
      <c r="T38" t="str">
        <f>IF(策划表!O38="","",策划表!O38)</f>
        <v/>
      </c>
      <c r="U38" t="str">
        <f>IF(策划表!P38="","",策划表!P38)</f>
        <v/>
      </c>
      <c r="V38" t="str">
        <f t="shared" si="5"/>
        <v>t_director_option3_1100803</v>
      </c>
      <c r="W38" t="str">
        <f>IF(策划表!Q38="","",策划表!Q38)</f>
        <v/>
      </c>
      <c r="X38" t="str">
        <f>IF(策划表!R38="","",策划表!R38)</f>
        <v/>
      </c>
      <c r="Y38" t="str">
        <f>IF(策划表!S38="","",策划表!S38)</f>
        <v/>
      </c>
    </row>
    <row r="39" spans="1:25" x14ac:dyDescent="0.15">
      <c r="A39">
        <f>策划表!A39</f>
        <v>1100804</v>
      </c>
      <c r="B39" t="str">
        <f>IF(策划表!B39="","",策划表!B39)</f>
        <v>伊迪丝</v>
      </c>
      <c r="C39" t="str">
        <f t="shared" si="0"/>
        <v>t_director_title_1100804</v>
      </c>
      <c r="D39" t="str">
        <f>IF(策划表!C39="","",策划表!C39)</f>
        <v>卡玛是负责城镇物资的，她以前是负责笔试考核的，她正在城外，你可以找她完成考核。</v>
      </c>
      <c r="E39" t="str">
        <f t="shared" si="1"/>
        <v>t_director_dialog_1100804</v>
      </c>
      <c r="F39" t="str">
        <f>IF(策划表!D39="","",策划表!D39)</f>
        <v>好的</v>
      </c>
      <c r="G39" t="str">
        <f t="shared" si="2"/>
        <v>t_director_option0_1100804</v>
      </c>
      <c r="H39">
        <f>IF(策划表!E39="","",策划表!E39)</f>
        <v>1</v>
      </c>
      <c r="I39" t="str">
        <f>IF(策划表!F39="","",策划表!F39)</f>
        <v/>
      </c>
      <c r="J39" t="str">
        <f>IF(策划表!G39="","",策划表!G39)</f>
        <v/>
      </c>
      <c r="K39" t="str">
        <f>IF(策划表!H39="","",策划表!H39)</f>
        <v>以前的考官？</v>
      </c>
      <c r="L39" t="str">
        <f t="shared" si="3"/>
        <v>t_director_option1_1100804</v>
      </c>
      <c r="M39" t="str">
        <f>IF(策划表!I39="","",策划表!I39)</f>
        <v/>
      </c>
      <c r="N39">
        <f>IF(策划表!J39="","",策划表!J39)</f>
        <v>1100805</v>
      </c>
      <c r="O39" t="str">
        <f>IF(策划表!K39="","",策划表!K39)</f>
        <v/>
      </c>
      <c r="P39" t="str">
        <f>IF(策划表!L39="","",策划表!L39)</f>
        <v/>
      </c>
      <c r="Q39" t="str">
        <f t="shared" si="4"/>
        <v>t_director_option2_1100804</v>
      </c>
      <c r="R39" t="str">
        <f>IF(策划表!M39="","",策划表!M39)</f>
        <v/>
      </c>
      <c r="S39" t="str">
        <f>IF(策划表!N39="","",策划表!N39)</f>
        <v/>
      </c>
      <c r="T39" t="str">
        <f>IF(策划表!O39="","",策划表!O39)</f>
        <v/>
      </c>
      <c r="U39" t="str">
        <f>IF(策划表!P39="","",策划表!P39)</f>
        <v/>
      </c>
      <c r="V39" t="str">
        <f t="shared" si="5"/>
        <v>t_director_option3_1100804</v>
      </c>
      <c r="W39" t="str">
        <f>IF(策划表!Q39="","",策划表!Q39)</f>
        <v/>
      </c>
      <c r="X39" t="str">
        <f>IF(策划表!R39="","",策划表!R39)</f>
        <v/>
      </c>
      <c r="Y39" t="str">
        <f>IF(策划表!S39="","",策划表!S39)</f>
        <v/>
      </c>
    </row>
    <row r="40" spans="1:25" x14ac:dyDescent="0.15">
      <c r="A40">
        <f>策划表!A40</f>
        <v>1100805</v>
      </c>
      <c r="B40" t="str">
        <f>IF(策划表!B40="","",策划表!B40)</f>
        <v>伊迪丝</v>
      </c>
      <c r="C40" t="str">
        <f t="shared" si="0"/>
        <v>t_director_title_1100805</v>
      </c>
      <c r="D40" t="str">
        <f>IF(策划表!C40="","",策划表!C40)</f>
        <v>不用惊讶，卡玛是最好的考官，只是城镇人手不足，她才去负责物资的。</v>
      </c>
      <c r="E40" t="str">
        <f t="shared" si="1"/>
        <v>t_director_dialog_1100805</v>
      </c>
      <c r="F40" t="str">
        <f>IF(策划表!D40="","",策划表!D40)</f>
        <v>好吧</v>
      </c>
      <c r="G40" t="str">
        <f t="shared" si="2"/>
        <v>t_director_option0_1100805</v>
      </c>
      <c r="H40">
        <f>IF(策划表!E40="","",策划表!E40)</f>
        <v>1</v>
      </c>
      <c r="I40" t="str">
        <f>IF(策划表!F40="","",策划表!F40)</f>
        <v/>
      </c>
      <c r="J40" t="str">
        <f>IF(策划表!G40="","",策划表!G40)</f>
        <v/>
      </c>
      <c r="K40" t="str">
        <f>IF(策划表!H40="","",策划表!H40)</f>
        <v/>
      </c>
      <c r="L40" t="str">
        <f t="shared" si="3"/>
        <v>t_director_option1_1100805</v>
      </c>
      <c r="M40" t="str">
        <f>IF(策划表!I40="","",策划表!I40)</f>
        <v/>
      </c>
      <c r="N40" t="str">
        <f>IF(策划表!J40="","",策划表!J40)</f>
        <v/>
      </c>
      <c r="O40" t="str">
        <f>IF(策划表!K40="","",策划表!K40)</f>
        <v/>
      </c>
      <c r="P40" t="str">
        <f>IF(策划表!L40="","",策划表!L40)</f>
        <v/>
      </c>
      <c r="Q40" t="str">
        <f t="shared" si="4"/>
        <v>t_director_option2_1100805</v>
      </c>
      <c r="R40" t="str">
        <f>IF(策划表!M40="","",策划表!M40)</f>
        <v/>
      </c>
      <c r="S40" t="str">
        <f>IF(策划表!N40="","",策划表!N40)</f>
        <v/>
      </c>
      <c r="T40" t="str">
        <f>IF(策划表!O40="","",策划表!O40)</f>
        <v/>
      </c>
      <c r="U40" t="str">
        <f>IF(策划表!P40="","",策划表!P40)</f>
        <v/>
      </c>
      <c r="V40" t="str">
        <f t="shared" si="5"/>
        <v>t_director_option3_1100805</v>
      </c>
      <c r="W40" t="str">
        <f>IF(策划表!Q40="","",策划表!Q40)</f>
        <v/>
      </c>
      <c r="X40" t="str">
        <f>IF(策划表!R40="","",策划表!R40)</f>
        <v/>
      </c>
      <c r="Y40" t="str">
        <f>IF(策划表!S40="","",策划表!S40)</f>
        <v/>
      </c>
    </row>
    <row r="41" spans="1:25" x14ac:dyDescent="0.15">
      <c r="A41">
        <f>策划表!A41</f>
        <v>1100900</v>
      </c>
      <c r="B41" t="str">
        <f>IF(策划表!B41="","",策划表!B41)</f>
        <v>卡玛</v>
      </c>
      <c r="C41" t="str">
        <f t="shared" si="0"/>
        <v>t_director_title_1100900</v>
      </c>
      <c r="D41" t="str">
        <f>IF(策划表!C41="","",策划表!C41)</f>
        <v>你好，我是负责城镇物资的，你有什么事吗？</v>
      </c>
      <c r="E41" t="str">
        <f t="shared" si="1"/>
        <v>t_director_dialog_1100900</v>
      </c>
      <c r="F41" t="str">
        <f>IF(策划表!D41="","",策划表!D41)</f>
        <v>我是来完成笔试考核的，你是卡玛吗？</v>
      </c>
      <c r="G41" t="str">
        <f t="shared" si="2"/>
        <v>t_director_option0_1100900</v>
      </c>
      <c r="H41" t="str">
        <f>IF(策划表!E41="","",策划表!E41)</f>
        <v/>
      </c>
      <c r="I41">
        <f>IF(策划表!F41="","",策划表!F41)</f>
        <v>1100901</v>
      </c>
      <c r="J41" t="str">
        <f>IF(策划表!G41="","",策划表!G41)</f>
        <v/>
      </c>
      <c r="K41" t="str">
        <f>IF(策划表!H41="","",策划表!H41)</f>
        <v/>
      </c>
      <c r="L41" t="str">
        <f t="shared" si="3"/>
        <v>t_director_option1_1100900</v>
      </c>
      <c r="M41" t="str">
        <f>IF(策划表!I41="","",策划表!I41)</f>
        <v/>
      </c>
      <c r="N41" t="str">
        <f>IF(策划表!J41="","",策划表!J41)</f>
        <v/>
      </c>
      <c r="O41" t="str">
        <f>IF(策划表!K41="","",策划表!K41)</f>
        <v/>
      </c>
      <c r="P41" t="str">
        <f>IF(策划表!L41="","",策划表!L41)</f>
        <v/>
      </c>
      <c r="Q41" t="str">
        <f t="shared" si="4"/>
        <v>t_director_option2_1100900</v>
      </c>
      <c r="R41" t="str">
        <f>IF(策划表!M41="","",策划表!M41)</f>
        <v/>
      </c>
      <c r="S41" t="str">
        <f>IF(策划表!N41="","",策划表!N41)</f>
        <v/>
      </c>
      <c r="T41" t="str">
        <f>IF(策划表!O41="","",策划表!O41)</f>
        <v/>
      </c>
      <c r="U41" t="str">
        <f>IF(策划表!P41="","",策划表!P41)</f>
        <v/>
      </c>
      <c r="V41" t="str">
        <f t="shared" si="5"/>
        <v>t_director_option3_1100900</v>
      </c>
      <c r="W41" t="str">
        <f>IF(策划表!Q41="","",策划表!Q41)</f>
        <v/>
      </c>
      <c r="X41" t="str">
        <f>IF(策划表!R41="","",策划表!R41)</f>
        <v/>
      </c>
      <c r="Y41" t="str">
        <f>IF(策划表!S41="","",策划表!S41)</f>
        <v/>
      </c>
    </row>
    <row r="42" spans="1:25" x14ac:dyDescent="0.15">
      <c r="A42">
        <f>策划表!A42</f>
        <v>1100901</v>
      </c>
      <c r="B42" t="str">
        <f>IF(策划表!B42="","",策划表!B42)</f>
        <v>卡玛</v>
      </c>
      <c r="C42" t="str">
        <f t="shared" si="0"/>
        <v>t_director_title_1100901</v>
      </c>
      <c r="D42" t="str">
        <f>IF(策划表!C42="","",策划表!C42)</f>
        <v>已经很久没人来我这里进行考核了，一般的冒险者是不用参加笔试的，看来你很特殊。</v>
      </c>
      <c r="E42" t="str">
        <f t="shared" si="1"/>
        <v>t_director_dialog_1100901</v>
      </c>
      <c r="F42" t="str">
        <f>IF(策划表!D42="","",策划表!D42)</f>
        <v>一般不用吗？</v>
      </c>
      <c r="G42" t="str">
        <f t="shared" si="2"/>
        <v>t_director_option0_1100901</v>
      </c>
      <c r="H42" t="str">
        <f>IF(策划表!E42="","",策划表!E42)</f>
        <v/>
      </c>
      <c r="I42">
        <f>IF(策划表!F42="","",策划表!F42)</f>
        <v>1100902</v>
      </c>
      <c r="J42" t="str">
        <f>IF(策划表!G42="","",策划表!G42)</f>
        <v/>
      </c>
      <c r="K42" t="str">
        <f>IF(策划表!H42="","",策划表!H42)</f>
        <v/>
      </c>
      <c r="L42" t="str">
        <f t="shared" si="3"/>
        <v>t_director_option1_1100901</v>
      </c>
      <c r="M42" t="str">
        <f>IF(策划表!I42="","",策划表!I42)</f>
        <v/>
      </c>
      <c r="N42" t="str">
        <f>IF(策划表!J42="","",策划表!J42)</f>
        <v/>
      </c>
      <c r="O42" t="str">
        <f>IF(策划表!K42="","",策划表!K42)</f>
        <v/>
      </c>
      <c r="P42" t="str">
        <f>IF(策划表!L42="","",策划表!L42)</f>
        <v/>
      </c>
      <c r="Q42" t="str">
        <f t="shared" si="4"/>
        <v>t_director_option2_1100901</v>
      </c>
      <c r="R42" t="str">
        <f>IF(策划表!M42="","",策划表!M42)</f>
        <v/>
      </c>
      <c r="S42" t="str">
        <f>IF(策划表!N42="","",策划表!N42)</f>
        <v/>
      </c>
      <c r="T42" t="str">
        <f>IF(策划表!O42="","",策划表!O42)</f>
        <v/>
      </c>
      <c r="U42" t="str">
        <f>IF(策划表!P42="","",策划表!P42)</f>
        <v/>
      </c>
      <c r="V42" t="str">
        <f t="shared" si="5"/>
        <v>t_director_option3_1100901</v>
      </c>
      <c r="W42" t="str">
        <f>IF(策划表!Q42="","",策划表!Q42)</f>
        <v/>
      </c>
      <c r="X42" t="str">
        <f>IF(策划表!R42="","",策划表!R42)</f>
        <v/>
      </c>
      <c r="Y42" t="str">
        <f>IF(策划表!S42="","",策划表!S42)</f>
        <v/>
      </c>
    </row>
    <row r="43" spans="1:25" x14ac:dyDescent="0.15">
      <c r="A43">
        <f>策划表!A43</f>
        <v>1100902</v>
      </c>
      <c r="B43" t="str">
        <f>IF(策划表!B43="","",策划表!B43)</f>
        <v>卡玛</v>
      </c>
      <c r="C43" t="str">
        <f t="shared" si="0"/>
        <v>t_director_title_1100902</v>
      </c>
      <c r="D43" t="str">
        <f>IF(策划表!C43="","",策划表!C43)</f>
        <v>你不知道？看来你是伊迪丝安排的了。</v>
      </c>
      <c r="E43" t="str">
        <f t="shared" si="1"/>
        <v>t_director_dialog_1100902</v>
      </c>
      <c r="F43" t="str">
        <f>IF(策划表!D43="","",策划表!D43)</f>
        <v>…</v>
      </c>
      <c r="G43" t="str">
        <f t="shared" si="2"/>
        <v>t_director_option0_1100902</v>
      </c>
      <c r="H43" t="str">
        <f>IF(策划表!E43="","",策划表!E43)</f>
        <v/>
      </c>
      <c r="I43">
        <f>IF(策划表!F43="","",策划表!F43)</f>
        <v>1100903</v>
      </c>
      <c r="J43" t="str">
        <f>IF(策划表!G43="","",策划表!G43)</f>
        <v/>
      </c>
      <c r="K43" t="str">
        <f>IF(策划表!H43="","",策划表!H43)</f>
        <v/>
      </c>
      <c r="L43" t="str">
        <f t="shared" si="3"/>
        <v>t_director_option1_1100902</v>
      </c>
      <c r="M43" t="str">
        <f>IF(策划表!I43="","",策划表!I43)</f>
        <v/>
      </c>
      <c r="N43" t="str">
        <f>IF(策划表!J43="","",策划表!J43)</f>
        <v/>
      </c>
      <c r="O43" t="str">
        <f>IF(策划表!K43="","",策划表!K43)</f>
        <v/>
      </c>
      <c r="P43" t="str">
        <f>IF(策划表!L43="","",策划表!L43)</f>
        <v/>
      </c>
      <c r="Q43" t="str">
        <f t="shared" si="4"/>
        <v>t_director_option2_1100902</v>
      </c>
      <c r="R43" t="str">
        <f>IF(策划表!M43="","",策划表!M43)</f>
        <v/>
      </c>
      <c r="S43" t="str">
        <f>IF(策划表!N43="","",策划表!N43)</f>
        <v/>
      </c>
      <c r="T43" t="str">
        <f>IF(策划表!O43="","",策划表!O43)</f>
        <v/>
      </c>
      <c r="U43" t="str">
        <f>IF(策划表!P43="","",策划表!P43)</f>
        <v/>
      </c>
      <c r="V43" t="str">
        <f t="shared" si="5"/>
        <v>t_director_option3_1100902</v>
      </c>
      <c r="W43" t="str">
        <f>IF(策划表!Q43="","",策划表!Q43)</f>
        <v/>
      </c>
      <c r="X43" t="str">
        <f>IF(策划表!R43="","",策划表!R43)</f>
        <v/>
      </c>
      <c r="Y43" t="str">
        <f>IF(策划表!S43="","",策划表!S43)</f>
        <v/>
      </c>
    </row>
    <row r="44" spans="1:25" x14ac:dyDescent="0.15">
      <c r="A44">
        <f>策划表!A44</f>
        <v>1100903</v>
      </c>
      <c r="B44" t="str">
        <f>IF(策划表!B44="","",策划表!B44)</f>
        <v>卡玛</v>
      </c>
      <c r="C44" t="str">
        <f t="shared" si="0"/>
        <v>t_director_title_1100903</v>
      </c>
      <c r="D44" t="str">
        <f>IF(策划表!C44="","",策划表!C44)</f>
        <v>那么，咱们开始吧，你准备好了吗？</v>
      </c>
      <c r="E44" t="str">
        <f t="shared" si="1"/>
        <v>t_director_dialog_1100903</v>
      </c>
      <c r="F44" t="str">
        <f>IF(策划表!D44="","",策划表!D44)</f>
        <v>开始吧</v>
      </c>
      <c r="G44" t="str">
        <f t="shared" si="2"/>
        <v>t_director_option0_1100903</v>
      </c>
      <c r="H44" t="str">
        <f>IF(策划表!E44="","",策划表!E44)</f>
        <v/>
      </c>
      <c r="I44">
        <f>IF(策划表!F44="","",策划表!F44)</f>
        <v>1100904</v>
      </c>
      <c r="J44" t="str">
        <f>IF(策划表!G44="","",策划表!G44)</f>
        <v/>
      </c>
      <c r="K44" t="str">
        <f>IF(策划表!H44="","",策划表!H44)</f>
        <v/>
      </c>
      <c r="L44" t="str">
        <f t="shared" si="3"/>
        <v>t_director_option1_1100903</v>
      </c>
      <c r="M44" t="str">
        <f>IF(策划表!I44="","",策划表!I44)</f>
        <v/>
      </c>
      <c r="N44" t="str">
        <f>IF(策划表!J44="","",策划表!J44)</f>
        <v/>
      </c>
      <c r="O44" t="str">
        <f>IF(策划表!K44="","",策划表!K44)</f>
        <v/>
      </c>
      <c r="P44" t="str">
        <f>IF(策划表!L44="","",策划表!L44)</f>
        <v/>
      </c>
      <c r="Q44" t="str">
        <f t="shared" si="4"/>
        <v>t_director_option2_1100903</v>
      </c>
      <c r="R44" t="str">
        <f>IF(策划表!M44="","",策划表!M44)</f>
        <v/>
      </c>
      <c r="S44" t="str">
        <f>IF(策划表!N44="","",策划表!N44)</f>
        <v/>
      </c>
      <c r="T44" t="str">
        <f>IF(策划表!O44="","",策划表!O44)</f>
        <v/>
      </c>
      <c r="U44" t="str">
        <f>IF(策划表!P44="","",策划表!P44)</f>
        <v/>
      </c>
      <c r="V44" t="str">
        <f t="shared" si="5"/>
        <v>t_director_option3_1100903</v>
      </c>
      <c r="W44" t="str">
        <f>IF(策划表!Q44="","",策划表!Q44)</f>
        <v/>
      </c>
      <c r="X44" t="str">
        <f>IF(策划表!R44="","",策划表!R44)</f>
        <v/>
      </c>
      <c r="Y44" t="str">
        <f>IF(策划表!S44="","",策划表!S44)</f>
        <v/>
      </c>
    </row>
    <row r="45" spans="1:25" x14ac:dyDescent="0.15">
      <c r="A45">
        <f>策划表!A45</f>
        <v>1100904</v>
      </c>
      <c r="B45" t="str">
        <f>IF(策划表!B45="","",策划表!B45)</f>
        <v>卡玛</v>
      </c>
      <c r="C45" t="str">
        <f t="shared" si="0"/>
        <v>t_director_title_1100904</v>
      </c>
      <c r="D45" t="str">
        <f>IF(策划表!C45="","",策划表!C45)</f>
        <v>第一题：装备的打造是靠玩家打怪掉落的材料吗？</v>
      </c>
      <c r="E45" t="str">
        <f t="shared" si="1"/>
        <v>t_director_dialog_1100904</v>
      </c>
      <c r="F45" t="str">
        <f>IF(策划表!D45="","",策划表!D45)</f>
        <v>是</v>
      </c>
      <c r="G45" t="str">
        <f t="shared" si="2"/>
        <v>t_director_option0_1100904</v>
      </c>
      <c r="H45" t="str">
        <f>IF(策划表!E45="","",策划表!E45)</f>
        <v/>
      </c>
      <c r="I45">
        <f>IF(策划表!F45="","",策划表!F45)</f>
        <v>1100906</v>
      </c>
      <c r="J45" t="str">
        <f>IF(策划表!G45="","",策划表!G45)</f>
        <v/>
      </c>
      <c r="K45" t="str">
        <f>IF(策划表!H45="","",策划表!H45)</f>
        <v>不是</v>
      </c>
      <c r="L45" t="str">
        <f t="shared" si="3"/>
        <v>t_director_option1_1100904</v>
      </c>
      <c r="M45" t="str">
        <f>IF(策划表!I45="","",策划表!I45)</f>
        <v/>
      </c>
      <c r="N45">
        <f>IF(策划表!J45="","",策划表!J45)</f>
        <v>1100905</v>
      </c>
      <c r="O45" t="str">
        <f>IF(策划表!K45="","",策划表!K45)</f>
        <v/>
      </c>
      <c r="P45" t="str">
        <f>IF(策划表!L45="","",策划表!L45)</f>
        <v/>
      </c>
      <c r="Q45" t="str">
        <f t="shared" si="4"/>
        <v>t_director_option2_1100904</v>
      </c>
      <c r="R45" t="str">
        <f>IF(策划表!M45="","",策划表!M45)</f>
        <v/>
      </c>
      <c r="S45" t="str">
        <f>IF(策划表!N45="","",策划表!N45)</f>
        <v/>
      </c>
      <c r="T45" t="str">
        <f>IF(策划表!O45="","",策划表!O45)</f>
        <v/>
      </c>
      <c r="U45" t="str">
        <f>IF(策划表!P45="","",策划表!P45)</f>
        <v/>
      </c>
      <c r="V45" t="str">
        <f t="shared" si="5"/>
        <v>t_director_option3_1100904</v>
      </c>
      <c r="W45" t="str">
        <f>IF(策划表!Q45="","",策划表!Q45)</f>
        <v/>
      </c>
      <c r="X45" t="str">
        <f>IF(策划表!R45="","",策划表!R45)</f>
        <v/>
      </c>
      <c r="Y45" t="str">
        <f>IF(策划表!S45="","",策划表!S45)</f>
        <v/>
      </c>
    </row>
    <row r="46" spans="1:25" x14ac:dyDescent="0.15">
      <c r="A46">
        <f>策划表!A46</f>
        <v>1100905</v>
      </c>
      <c r="B46" t="str">
        <f>IF(策划表!B46="","",策划表!B46)</f>
        <v>卡玛</v>
      </c>
      <c r="C46" t="str">
        <f t="shared" si="0"/>
        <v>t_director_title_1100905</v>
      </c>
      <c r="D46" t="str">
        <f>IF(策划表!C46="","",策划表!C46)</f>
        <v>很遗憾，你答错了。别灰心，继续加油。</v>
      </c>
      <c r="E46" t="str">
        <f t="shared" si="1"/>
        <v>t_director_dialog_1100905</v>
      </c>
      <c r="F46" t="str">
        <f>IF(策划表!D46="","",策划表!D46)</f>
        <v>好的</v>
      </c>
      <c r="G46" t="str">
        <f t="shared" si="2"/>
        <v>t_director_option0_1100905</v>
      </c>
      <c r="H46" t="str">
        <f>IF(策划表!E46="","",策划表!E46)</f>
        <v/>
      </c>
      <c r="I46">
        <f>IF(策划表!F46="","",策划表!F46)</f>
        <v>1100903</v>
      </c>
      <c r="J46" t="str">
        <f>IF(策划表!G46="","",策划表!G46)</f>
        <v/>
      </c>
      <c r="K46" t="str">
        <f>IF(策划表!H46="","",策划表!H46)</f>
        <v/>
      </c>
      <c r="L46" t="str">
        <f t="shared" si="3"/>
        <v>t_director_option1_1100905</v>
      </c>
      <c r="M46" t="str">
        <f>IF(策划表!I46="","",策划表!I46)</f>
        <v/>
      </c>
      <c r="N46" t="str">
        <f>IF(策划表!J46="","",策划表!J46)</f>
        <v/>
      </c>
      <c r="O46" t="str">
        <f>IF(策划表!K46="","",策划表!K46)</f>
        <v/>
      </c>
      <c r="P46" t="str">
        <f>IF(策划表!L46="","",策划表!L46)</f>
        <v/>
      </c>
      <c r="Q46" t="str">
        <f t="shared" si="4"/>
        <v>t_director_option2_1100905</v>
      </c>
      <c r="R46" t="str">
        <f>IF(策划表!M46="","",策划表!M46)</f>
        <v/>
      </c>
      <c r="S46" t="str">
        <f>IF(策划表!N46="","",策划表!N46)</f>
        <v/>
      </c>
      <c r="T46" t="str">
        <f>IF(策划表!O46="","",策划表!O46)</f>
        <v/>
      </c>
      <c r="U46" t="str">
        <f>IF(策划表!P46="","",策划表!P46)</f>
        <v/>
      </c>
      <c r="V46" t="str">
        <f t="shared" si="5"/>
        <v>t_director_option3_1100905</v>
      </c>
      <c r="W46" t="str">
        <f>IF(策划表!Q46="","",策划表!Q46)</f>
        <v/>
      </c>
      <c r="X46" t="str">
        <f>IF(策划表!R46="","",策划表!R46)</f>
        <v/>
      </c>
      <c r="Y46" t="str">
        <f>IF(策划表!S46="","",策划表!S46)</f>
        <v/>
      </c>
    </row>
    <row r="47" spans="1:25" x14ac:dyDescent="0.15">
      <c r="A47">
        <f>策划表!A47</f>
        <v>1100906</v>
      </c>
      <c r="B47" t="str">
        <f>IF(策划表!B47="","",策划表!B47)</f>
        <v>卡玛</v>
      </c>
      <c r="C47" t="str">
        <f t="shared" si="0"/>
        <v>t_director_title_1100906</v>
      </c>
      <c r="D47" t="str">
        <f>IF(策划表!C47="","",策划表!C47)</f>
        <v>第二题：精英怪物每多久刷新一次？</v>
      </c>
      <c r="E47" t="str">
        <f t="shared" si="1"/>
        <v>t_director_dialog_1100906</v>
      </c>
      <c r="F47" t="str">
        <f>IF(策划表!D47="","",策划表!D47)</f>
        <v>30分钟</v>
      </c>
      <c r="G47" t="str">
        <f t="shared" si="2"/>
        <v>t_director_option0_1100906</v>
      </c>
      <c r="H47" t="str">
        <f>IF(策划表!E47="","",策划表!E47)</f>
        <v/>
      </c>
      <c r="I47">
        <f>IF(策划表!F47="","",策划表!F47)</f>
        <v>1100907</v>
      </c>
      <c r="J47" t="str">
        <f>IF(策划表!G47="","",策划表!G47)</f>
        <v/>
      </c>
      <c r="K47" t="str">
        <f>IF(策划表!H47="","",策划表!H47)</f>
        <v>40分钟</v>
      </c>
      <c r="L47" t="str">
        <f t="shared" si="3"/>
        <v>t_director_option1_1100906</v>
      </c>
      <c r="M47" t="str">
        <f>IF(策划表!I47="","",策划表!I47)</f>
        <v/>
      </c>
      <c r="N47">
        <f>IF(策划表!J47="","",策划表!J47)</f>
        <v>1100905</v>
      </c>
      <c r="O47" t="str">
        <f>IF(策划表!K47="","",策划表!K47)</f>
        <v/>
      </c>
      <c r="P47" t="str">
        <f>IF(策划表!L47="","",策划表!L47)</f>
        <v>50分钟</v>
      </c>
      <c r="Q47" t="str">
        <f t="shared" si="4"/>
        <v>t_director_option2_1100906</v>
      </c>
      <c r="R47" t="str">
        <f>IF(策划表!M47="","",策划表!M47)</f>
        <v/>
      </c>
      <c r="S47">
        <f>IF(策划表!N47="","",策划表!N47)</f>
        <v>1100905</v>
      </c>
      <c r="T47" t="str">
        <f>IF(策划表!O47="","",策划表!O47)</f>
        <v/>
      </c>
      <c r="U47" t="str">
        <f>IF(策划表!P47="","",策划表!P47)</f>
        <v>60分钟</v>
      </c>
      <c r="V47" t="str">
        <f t="shared" si="5"/>
        <v>t_director_option3_1100906</v>
      </c>
      <c r="W47" t="str">
        <f>IF(策划表!Q47="","",策划表!Q47)</f>
        <v/>
      </c>
      <c r="X47">
        <f>IF(策划表!R47="","",策划表!R47)</f>
        <v>1100905</v>
      </c>
      <c r="Y47" t="str">
        <f>IF(策划表!S47="","",策划表!S47)</f>
        <v/>
      </c>
    </row>
    <row r="48" spans="1:25" x14ac:dyDescent="0.15">
      <c r="A48">
        <f>策划表!A48</f>
        <v>1100907</v>
      </c>
      <c r="B48" t="str">
        <f>IF(策划表!B48="","",策划表!B48)</f>
        <v>卡玛</v>
      </c>
      <c r="C48" t="str">
        <f t="shared" si="0"/>
        <v>t_director_title_1100907</v>
      </c>
      <c r="D48" t="str">
        <f>IF(策划表!C48="","",策划表!C48)</f>
        <v>第三题：战斗的时候可以携带几个技能？</v>
      </c>
      <c r="E48" t="str">
        <f t="shared" si="1"/>
        <v>t_director_dialog_1100907</v>
      </c>
      <c r="F48" t="str">
        <f>IF(策划表!D48="","",策划表!D48)</f>
        <v>3个</v>
      </c>
      <c r="G48" t="str">
        <f t="shared" si="2"/>
        <v>t_director_option0_1100907</v>
      </c>
      <c r="H48" t="str">
        <f>IF(策划表!E48="","",策划表!E48)</f>
        <v/>
      </c>
      <c r="I48">
        <f>IF(策划表!F48="","",策划表!F48)</f>
        <v>1100908</v>
      </c>
      <c r="J48" t="str">
        <f>IF(策划表!G48="","",策划表!G48)</f>
        <v/>
      </c>
      <c r="K48" t="str">
        <f>IF(策划表!H48="","",策划表!H48)</f>
        <v>2个</v>
      </c>
      <c r="L48" t="str">
        <f t="shared" si="3"/>
        <v>t_director_option1_1100907</v>
      </c>
      <c r="M48" t="str">
        <f>IF(策划表!I48="","",策划表!I48)</f>
        <v/>
      </c>
      <c r="N48">
        <f>IF(策划表!J48="","",策划表!J48)</f>
        <v>1100905</v>
      </c>
      <c r="O48" t="str">
        <f>IF(策划表!K48="","",策划表!K48)</f>
        <v/>
      </c>
      <c r="P48" t="str">
        <f>IF(策划表!L48="","",策划表!L48)</f>
        <v>1个</v>
      </c>
      <c r="Q48" t="str">
        <f t="shared" si="4"/>
        <v>t_director_option2_1100907</v>
      </c>
      <c r="R48" t="str">
        <f>IF(策划表!M48="","",策划表!M48)</f>
        <v/>
      </c>
      <c r="S48">
        <f>IF(策划表!N48="","",策划表!N48)</f>
        <v>1100905</v>
      </c>
      <c r="T48" t="str">
        <f>IF(策划表!O48="","",策划表!O48)</f>
        <v/>
      </c>
      <c r="U48" t="str">
        <f>IF(策划表!P48="","",策划表!P48)</f>
        <v>4个</v>
      </c>
      <c r="V48" t="str">
        <f t="shared" si="5"/>
        <v>t_director_option3_1100907</v>
      </c>
      <c r="W48" t="str">
        <f>IF(策划表!Q48="","",策划表!Q48)</f>
        <v/>
      </c>
      <c r="X48">
        <f>IF(策划表!R48="","",策划表!R48)</f>
        <v>1100905</v>
      </c>
      <c r="Y48" t="str">
        <f>IF(策划表!S48="","",策划表!S48)</f>
        <v/>
      </c>
    </row>
    <row r="49" spans="1:25" x14ac:dyDescent="0.15">
      <c r="A49">
        <f>策划表!A49</f>
        <v>1100908</v>
      </c>
      <c r="B49" t="str">
        <f>IF(策划表!B49="","",策划表!B49)</f>
        <v>卡玛</v>
      </c>
      <c r="C49" t="str">
        <f t="shared" si="0"/>
        <v>t_director_title_1100908</v>
      </c>
      <c r="D49" t="str">
        <f>IF(策划表!C49="","",策划表!C49)</f>
        <v>你回答对了所有问题，恭喜你了。你正式加入了刷子公会。</v>
      </c>
      <c r="E49" t="str">
        <f t="shared" si="1"/>
        <v>t_director_dialog_1100908</v>
      </c>
      <c r="F49" t="str">
        <f>IF(策划表!D49="","",策划表!D49)</f>
        <v>谢谢</v>
      </c>
      <c r="G49" t="str">
        <f t="shared" si="2"/>
        <v>t_director_option0_1100908</v>
      </c>
      <c r="H49" t="str">
        <f>IF(策划表!E49="","",策划表!E49)</f>
        <v/>
      </c>
      <c r="I49">
        <f>IF(策划表!F49="","",策划表!F49)</f>
        <v>1100909</v>
      </c>
      <c r="J49" t="str">
        <f>IF(策划表!G49="","",策划表!G49)</f>
        <v/>
      </c>
      <c r="K49" t="str">
        <f>IF(策划表!H49="","",策划表!H49)</f>
        <v>好难</v>
      </c>
      <c r="L49" t="str">
        <f t="shared" si="3"/>
        <v>t_director_option1_1100908</v>
      </c>
      <c r="M49" t="str">
        <f>IF(策划表!I49="","",策划表!I49)</f>
        <v/>
      </c>
      <c r="N49">
        <f>IF(策划表!J49="","",策划表!J49)</f>
        <v>1100910</v>
      </c>
      <c r="O49" t="str">
        <f>IF(策划表!K49="","",策划表!K49)</f>
        <v/>
      </c>
      <c r="P49" t="str">
        <f>IF(策划表!L49="","",策划表!L49)</f>
        <v/>
      </c>
      <c r="Q49" t="str">
        <f t="shared" si="4"/>
        <v>t_director_option2_1100908</v>
      </c>
      <c r="R49" t="str">
        <f>IF(策划表!M49="","",策划表!M49)</f>
        <v/>
      </c>
      <c r="S49" t="str">
        <f>IF(策划表!N49="","",策划表!N49)</f>
        <v/>
      </c>
      <c r="T49" t="str">
        <f>IF(策划表!O49="","",策划表!O49)</f>
        <v/>
      </c>
      <c r="U49" t="str">
        <f>IF(策划表!P49="","",策划表!P49)</f>
        <v/>
      </c>
      <c r="V49" t="str">
        <f t="shared" si="5"/>
        <v>t_director_option3_1100908</v>
      </c>
      <c r="W49" t="str">
        <f>IF(策划表!Q49="","",策划表!Q49)</f>
        <v/>
      </c>
      <c r="X49" t="str">
        <f>IF(策划表!R49="","",策划表!R49)</f>
        <v/>
      </c>
      <c r="Y49" t="str">
        <f>IF(策划表!S49="","",策划表!S49)</f>
        <v/>
      </c>
    </row>
    <row r="50" spans="1:25" x14ac:dyDescent="0.15">
      <c r="A50">
        <f>策划表!A50</f>
        <v>1100909</v>
      </c>
      <c r="B50" t="str">
        <f>IF(策划表!B50="","",策划表!B50)</f>
        <v>卡玛</v>
      </c>
      <c r="C50" t="str">
        <f t="shared" si="0"/>
        <v>t_director_title_1100909</v>
      </c>
      <c r="D50" t="str">
        <f>IF(策划表!C50="","",策划表!C50)</f>
        <v>接下来你可以去找伊迪丝，他有任务要给你。</v>
      </c>
      <c r="E50" t="str">
        <f t="shared" si="1"/>
        <v>t_director_dialog_1100909</v>
      </c>
      <c r="F50" t="str">
        <f>IF(策划表!D50="","",策划表!D50)</f>
        <v>好的</v>
      </c>
      <c r="G50" t="str">
        <f t="shared" si="2"/>
        <v>t_director_option0_1100909</v>
      </c>
      <c r="H50">
        <f>IF(策划表!E50="","",策划表!E50)</f>
        <v>1</v>
      </c>
      <c r="I50" t="str">
        <f>IF(策划表!F50="","",策划表!F50)</f>
        <v/>
      </c>
      <c r="J50" t="str">
        <f>IF(策划表!G50="","",策划表!G50)</f>
        <v/>
      </c>
      <c r="K50" t="str">
        <f>IF(策划表!H50="","",策划表!H50)</f>
        <v/>
      </c>
      <c r="L50" t="str">
        <f t="shared" si="3"/>
        <v>t_director_option1_1100909</v>
      </c>
      <c r="M50" t="str">
        <f>IF(策划表!I50="","",策划表!I50)</f>
        <v/>
      </c>
      <c r="N50" t="str">
        <f>IF(策划表!J50="","",策划表!J50)</f>
        <v/>
      </c>
      <c r="O50" t="str">
        <f>IF(策划表!K50="","",策划表!K50)</f>
        <v/>
      </c>
      <c r="P50" t="str">
        <f>IF(策划表!L50="","",策划表!L50)</f>
        <v/>
      </c>
      <c r="Q50" t="str">
        <f t="shared" si="4"/>
        <v>t_director_option2_1100909</v>
      </c>
      <c r="R50" t="str">
        <f>IF(策划表!M50="","",策划表!M50)</f>
        <v/>
      </c>
      <c r="S50" t="str">
        <f>IF(策划表!N50="","",策划表!N50)</f>
        <v/>
      </c>
      <c r="T50" t="str">
        <f>IF(策划表!O50="","",策划表!O50)</f>
        <v/>
      </c>
      <c r="U50" t="str">
        <f>IF(策划表!P50="","",策划表!P50)</f>
        <v/>
      </c>
      <c r="V50" t="str">
        <f t="shared" si="5"/>
        <v>t_director_option3_1100909</v>
      </c>
      <c r="W50" t="str">
        <f>IF(策划表!Q50="","",策划表!Q50)</f>
        <v/>
      </c>
      <c r="X50" t="str">
        <f>IF(策划表!R50="","",策划表!R50)</f>
        <v/>
      </c>
      <c r="Y50" t="str">
        <f>IF(策划表!S50="","",策划表!S50)</f>
        <v/>
      </c>
    </row>
    <row r="51" spans="1:25" x14ac:dyDescent="0.15">
      <c r="A51">
        <f>策划表!A51</f>
        <v>1100910</v>
      </c>
      <c r="B51" t="str">
        <f>IF(策划表!B51="","",策划表!B51)</f>
        <v>卡玛</v>
      </c>
      <c r="C51" t="str">
        <f t="shared" si="0"/>
        <v>t_director_title_1100910</v>
      </c>
      <c r="D51" t="str">
        <f>IF(策划表!C51="","",策划表!C51)</f>
        <v>只有经过地狱般的磨练,才能炼就出创造天堂的力量。</v>
      </c>
      <c r="E51" t="str">
        <f t="shared" si="1"/>
        <v>t_director_dialog_1100910</v>
      </c>
      <c r="F51" t="str">
        <f>IF(策划表!D51="","",策划表!D51)</f>
        <v>…</v>
      </c>
      <c r="G51" t="str">
        <f t="shared" si="2"/>
        <v>t_director_option0_1100910</v>
      </c>
      <c r="H51" t="str">
        <f>IF(策划表!E51="","",策划表!E51)</f>
        <v/>
      </c>
      <c r="I51">
        <f>IF(策划表!F51="","",策划表!F51)</f>
        <v>1100911</v>
      </c>
      <c r="J51" t="str">
        <f>IF(策划表!G51="","",策划表!G51)</f>
        <v/>
      </c>
      <c r="K51" t="str">
        <f>IF(策划表!H51="","",策划表!H51)</f>
        <v/>
      </c>
      <c r="L51" t="str">
        <f t="shared" si="3"/>
        <v>t_director_option1_1100910</v>
      </c>
      <c r="M51" t="str">
        <f>IF(策划表!I51="","",策划表!I51)</f>
        <v/>
      </c>
      <c r="N51" t="str">
        <f>IF(策划表!J51="","",策划表!J51)</f>
        <v/>
      </c>
      <c r="O51" t="str">
        <f>IF(策划表!K51="","",策划表!K51)</f>
        <v/>
      </c>
      <c r="P51" t="str">
        <f>IF(策划表!L51="","",策划表!L51)</f>
        <v/>
      </c>
      <c r="Q51" t="str">
        <f t="shared" si="4"/>
        <v>t_director_option2_1100910</v>
      </c>
      <c r="R51" t="str">
        <f>IF(策划表!M51="","",策划表!M51)</f>
        <v/>
      </c>
      <c r="S51" t="str">
        <f>IF(策划表!N51="","",策划表!N51)</f>
        <v/>
      </c>
      <c r="T51" t="str">
        <f>IF(策划表!O51="","",策划表!O51)</f>
        <v/>
      </c>
      <c r="U51" t="str">
        <f>IF(策划表!P51="","",策划表!P51)</f>
        <v/>
      </c>
      <c r="V51" t="str">
        <f t="shared" si="5"/>
        <v>t_director_option3_1100910</v>
      </c>
      <c r="W51" t="str">
        <f>IF(策划表!Q51="","",策划表!Q51)</f>
        <v/>
      </c>
      <c r="X51" t="str">
        <f>IF(策划表!R51="","",策划表!R51)</f>
        <v/>
      </c>
      <c r="Y51" t="str">
        <f>IF(策划表!S51="","",策划表!S51)</f>
        <v/>
      </c>
    </row>
    <row r="52" spans="1:25" x14ac:dyDescent="0.15">
      <c r="A52">
        <f>策划表!A52</f>
        <v>1100911</v>
      </c>
      <c r="B52" t="str">
        <f>IF(策划表!B52="","",策划表!B52)</f>
        <v>卡玛</v>
      </c>
      <c r="C52" t="str">
        <f t="shared" si="0"/>
        <v>t_director_title_1100911</v>
      </c>
      <c r="D52" t="str">
        <f>IF(策划表!C52="","",策划表!C52)</f>
        <v>我好像见过你，你是不是缇娜的朋友？</v>
      </c>
      <c r="E52" t="str">
        <f t="shared" si="1"/>
        <v>t_director_dialog_1100911</v>
      </c>
      <c r="F52" t="str">
        <f>IF(策划表!D52="","",策划表!D52)</f>
        <v>是的</v>
      </c>
      <c r="G52" t="str">
        <f t="shared" si="2"/>
        <v>t_director_option0_1100911</v>
      </c>
      <c r="H52" t="str">
        <f>IF(策划表!E52="","",策划表!E52)</f>
        <v/>
      </c>
      <c r="I52">
        <f>IF(策划表!F52="","",策划表!F52)</f>
        <v>1100912</v>
      </c>
      <c r="J52" t="str">
        <f>IF(策划表!G52="","",策划表!G52)</f>
        <v/>
      </c>
      <c r="K52" t="str">
        <f>IF(策划表!H52="","",策划表!H52)</f>
        <v/>
      </c>
      <c r="L52" t="str">
        <f t="shared" si="3"/>
        <v>t_director_option1_1100911</v>
      </c>
      <c r="M52" t="str">
        <f>IF(策划表!I52="","",策划表!I52)</f>
        <v/>
      </c>
      <c r="N52" t="str">
        <f>IF(策划表!J52="","",策划表!J52)</f>
        <v/>
      </c>
      <c r="O52" t="str">
        <f>IF(策划表!K52="","",策划表!K52)</f>
        <v/>
      </c>
      <c r="P52" t="str">
        <f>IF(策划表!L52="","",策划表!L52)</f>
        <v/>
      </c>
      <c r="Q52" t="str">
        <f t="shared" si="4"/>
        <v>t_director_option2_1100911</v>
      </c>
      <c r="R52" t="str">
        <f>IF(策划表!M52="","",策划表!M52)</f>
        <v/>
      </c>
      <c r="S52" t="str">
        <f>IF(策划表!N52="","",策划表!N52)</f>
        <v/>
      </c>
      <c r="T52" t="str">
        <f>IF(策划表!O52="","",策划表!O52)</f>
        <v/>
      </c>
      <c r="U52" t="str">
        <f>IF(策划表!P52="","",策划表!P52)</f>
        <v/>
      </c>
      <c r="V52" t="str">
        <f t="shared" si="5"/>
        <v>t_director_option3_1100911</v>
      </c>
      <c r="W52" t="str">
        <f>IF(策划表!Q52="","",策划表!Q52)</f>
        <v/>
      </c>
      <c r="X52" t="str">
        <f>IF(策划表!R52="","",策划表!R52)</f>
        <v/>
      </c>
      <c r="Y52" t="str">
        <f>IF(策划表!S52="","",策划表!S52)</f>
        <v/>
      </c>
    </row>
    <row r="53" spans="1:25" x14ac:dyDescent="0.15">
      <c r="A53">
        <f>策划表!A53</f>
        <v>1100912</v>
      </c>
      <c r="B53" t="str">
        <f>IF(策划表!B53="","",策划表!B53)</f>
        <v>卡玛</v>
      </c>
      <c r="C53" t="str">
        <f t="shared" si="0"/>
        <v>t_director_title_1100912</v>
      </c>
      <c r="D53" t="str">
        <f>IF(策划表!C53="","",策划表!C53)</f>
        <v>出城前缇娜还提起你，说你要加入刷子公会呢！</v>
      </c>
      <c r="E53" t="str">
        <f t="shared" si="1"/>
        <v>t_director_dialog_1100912</v>
      </c>
      <c r="F53" t="str">
        <f>IF(策划表!D53="","",策划表!D53)</f>
        <v>…</v>
      </c>
      <c r="G53" t="str">
        <f t="shared" si="2"/>
        <v>t_director_option0_1100912</v>
      </c>
      <c r="H53" t="str">
        <f>IF(策划表!E53="","",策划表!E53)</f>
        <v/>
      </c>
      <c r="I53">
        <f>IF(策划表!F53="","",策划表!F53)</f>
        <v>1100909</v>
      </c>
      <c r="J53" t="str">
        <f>IF(策划表!G53="","",策划表!G53)</f>
        <v/>
      </c>
      <c r="K53" t="str">
        <f>IF(策划表!H53="","",策划表!H53)</f>
        <v/>
      </c>
      <c r="L53" t="str">
        <f t="shared" si="3"/>
        <v>t_director_option1_1100912</v>
      </c>
      <c r="M53" t="str">
        <f>IF(策划表!I53="","",策划表!I53)</f>
        <v/>
      </c>
      <c r="N53" t="str">
        <f>IF(策划表!J53="","",策划表!J53)</f>
        <v/>
      </c>
      <c r="O53" t="str">
        <f>IF(策划表!K53="","",策划表!K53)</f>
        <v/>
      </c>
      <c r="P53" t="str">
        <f>IF(策划表!L53="","",策划表!L53)</f>
        <v/>
      </c>
      <c r="Q53" t="str">
        <f t="shared" si="4"/>
        <v>t_director_option2_1100912</v>
      </c>
      <c r="R53" t="str">
        <f>IF(策划表!M53="","",策划表!M53)</f>
        <v/>
      </c>
      <c r="S53" t="str">
        <f>IF(策划表!N53="","",策划表!N53)</f>
        <v/>
      </c>
      <c r="T53" t="str">
        <f>IF(策划表!O53="","",策划表!O53)</f>
        <v/>
      </c>
      <c r="U53" t="str">
        <f>IF(策划表!P53="","",策划表!P53)</f>
        <v/>
      </c>
      <c r="V53" t="str">
        <f t="shared" si="5"/>
        <v>t_director_option3_1100912</v>
      </c>
      <c r="W53" t="str">
        <f>IF(策划表!Q53="","",策划表!Q53)</f>
        <v/>
      </c>
      <c r="X53" t="str">
        <f>IF(策划表!R53="","",策划表!R53)</f>
        <v/>
      </c>
      <c r="Y53" t="str">
        <f>IF(策划表!S53="","",策划表!S53)</f>
        <v/>
      </c>
    </row>
    <row r="54" spans="1:25" x14ac:dyDescent="0.15">
      <c r="A54">
        <f>策划表!A54</f>
        <v>1101000</v>
      </c>
      <c r="B54" t="str">
        <f>IF(策划表!B54="","",策划表!B54)</f>
        <v>伊迪丝</v>
      </c>
      <c r="C54" t="str">
        <f t="shared" si="0"/>
        <v>t_director_title_1101000</v>
      </c>
      <c r="D54" t="str">
        <f>IF(策划表!C54="","",策划表!C54)</f>
        <v>看来你成功的通过了考核，恭喜你冒险者。这样你就是刷子公会的一员了。</v>
      </c>
      <c r="E54" t="str">
        <f t="shared" si="1"/>
        <v>t_director_dialog_1101000</v>
      </c>
      <c r="F54" t="str">
        <f>IF(策划表!D54="","",策划表!D54)</f>
        <v>谢谢</v>
      </c>
      <c r="G54" t="str">
        <f t="shared" si="2"/>
        <v>t_director_option0_1101000</v>
      </c>
      <c r="H54" t="str">
        <f>IF(策划表!E54="","",策划表!E54)</f>
        <v/>
      </c>
      <c r="I54">
        <f>IF(策划表!F54="","",策划表!F54)</f>
        <v>1101001</v>
      </c>
      <c r="J54" t="str">
        <f>IF(策划表!G54="","",策划表!G54)</f>
        <v/>
      </c>
      <c r="K54" t="str">
        <f>IF(策划表!H54="","",策划表!H54)</f>
        <v/>
      </c>
      <c r="L54" t="str">
        <f t="shared" si="3"/>
        <v>t_director_option1_1101000</v>
      </c>
      <c r="M54" t="str">
        <f>IF(策划表!I54="","",策划表!I54)</f>
        <v/>
      </c>
      <c r="N54" t="str">
        <f>IF(策划表!J54="","",策划表!J54)</f>
        <v/>
      </c>
      <c r="O54" t="str">
        <f>IF(策划表!K54="","",策划表!K54)</f>
        <v/>
      </c>
      <c r="P54" t="str">
        <f>IF(策划表!L54="","",策划表!L54)</f>
        <v/>
      </c>
      <c r="Q54" t="str">
        <f t="shared" si="4"/>
        <v>t_director_option2_1101000</v>
      </c>
      <c r="R54" t="str">
        <f>IF(策划表!M54="","",策划表!M54)</f>
        <v/>
      </c>
      <c r="S54" t="str">
        <f>IF(策划表!N54="","",策划表!N54)</f>
        <v/>
      </c>
      <c r="T54" t="str">
        <f>IF(策划表!O54="","",策划表!O54)</f>
        <v/>
      </c>
      <c r="U54" t="str">
        <f>IF(策划表!P54="","",策划表!P54)</f>
        <v/>
      </c>
      <c r="V54" t="str">
        <f t="shared" si="5"/>
        <v>t_director_option3_1101000</v>
      </c>
      <c r="W54" t="str">
        <f>IF(策划表!Q54="","",策划表!Q54)</f>
        <v/>
      </c>
      <c r="X54" t="str">
        <f>IF(策划表!R54="","",策划表!R54)</f>
        <v/>
      </c>
      <c r="Y54" t="str">
        <f>IF(策划表!S54="","",策划表!S54)</f>
        <v/>
      </c>
    </row>
    <row r="55" spans="1:25" x14ac:dyDescent="0.15">
      <c r="A55">
        <f>策划表!A55</f>
        <v>1101001</v>
      </c>
      <c r="B55" t="str">
        <f>IF(策划表!B55="","",策划表!B55)</f>
        <v>伊迪丝</v>
      </c>
      <c r="C55" t="str">
        <f t="shared" si="0"/>
        <v>t_director_title_1101001</v>
      </c>
      <c r="D55" t="str">
        <f>IF(策划表!C55="","",策划表!C55)</f>
        <v>矿产资源的幕僚长沃克传来消息，说卡拉尔山脉下的平原被哥布林占领。</v>
      </c>
      <c r="E55" t="str">
        <f t="shared" si="1"/>
        <v>t_director_dialog_1101001</v>
      </c>
      <c r="F55" t="str">
        <f>IF(策划表!D55="","",策划表!D55)</f>
        <v>…</v>
      </c>
      <c r="G55" t="str">
        <f t="shared" si="2"/>
        <v>t_director_option0_1101001</v>
      </c>
      <c r="H55" t="str">
        <f>IF(策划表!E55="","",策划表!E55)</f>
        <v/>
      </c>
      <c r="I55">
        <f>IF(策划表!F55="","",策划表!F55)</f>
        <v>1101002</v>
      </c>
      <c r="J55" t="str">
        <f>IF(策划表!G55="","",策划表!G55)</f>
        <v/>
      </c>
      <c r="K55" t="str">
        <f>IF(策划表!H55="","",策划表!H55)</f>
        <v/>
      </c>
      <c r="L55" t="str">
        <f t="shared" si="3"/>
        <v>t_director_option1_1101001</v>
      </c>
      <c r="M55" t="str">
        <f>IF(策划表!I55="","",策划表!I55)</f>
        <v/>
      </c>
      <c r="N55" t="str">
        <f>IF(策划表!J55="","",策划表!J55)</f>
        <v/>
      </c>
      <c r="O55" t="str">
        <f>IF(策划表!K55="","",策划表!K55)</f>
        <v/>
      </c>
      <c r="P55" t="str">
        <f>IF(策划表!L55="","",策划表!L55)</f>
        <v/>
      </c>
      <c r="Q55" t="str">
        <f t="shared" si="4"/>
        <v>t_director_option2_1101001</v>
      </c>
      <c r="R55" t="str">
        <f>IF(策划表!M55="","",策划表!M55)</f>
        <v/>
      </c>
      <c r="S55" t="str">
        <f>IF(策划表!N55="","",策划表!N55)</f>
        <v/>
      </c>
      <c r="T55" t="str">
        <f>IF(策划表!O55="","",策划表!O55)</f>
        <v/>
      </c>
      <c r="U55" t="str">
        <f>IF(策划表!P55="","",策划表!P55)</f>
        <v/>
      </c>
      <c r="V55" t="str">
        <f t="shared" si="5"/>
        <v>t_director_option3_1101001</v>
      </c>
      <c r="W55" t="str">
        <f>IF(策划表!Q55="","",策划表!Q55)</f>
        <v/>
      </c>
      <c r="X55" t="str">
        <f>IF(策划表!R55="","",策划表!R55)</f>
        <v/>
      </c>
      <c r="Y55" t="str">
        <f>IF(策划表!S55="","",策划表!S55)</f>
        <v/>
      </c>
    </row>
    <row r="56" spans="1:25" x14ac:dyDescent="0.15">
      <c r="A56">
        <f>策划表!A56</f>
        <v>1101002</v>
      </c>
      <c r="B56" t="str">
        <f>IF(策划表!B56="","",策划表!B56)</f>
        <v>伊迪丝</v>
      </c>
      <c r="C56" t="str">
        <f t="shared" si="0"/>
        <v>t_director_title_1101002</v>
      </c>
      <c r="D56" t="str">
        <f>IF(策划表!C56="","",策划表!C56)</f>
        <v>我希望你去调查一下，击杀哥布林战士获得一些他们的头骨。</v>
      </c>
      <c r="E56" t="str">
        <f t="shared" si="1"/>
        <v>t_director_dialog_1101002</v>
      </c>
      <c r="F56" t="str">
        <f>IF(策划表!D56="","",策划表!D56)</f>
        <v>好的</v>
      </c>
      <c r="G56" t="str">
        <f t="shared" si="2"/>
        <v>t_director_option0_1101002</v>
      </c>
      <c r="H56">
        <f>IF(策划表!E56="","",策划表!E56)</f>
        <v>1</v>
      </c>
      <c r="I56" t="str">
        <f>IF(策划表!F56="","",策划表!F56)</f>
        <v/>
      </c>
      <c r="J56" t="str">
        <f>IF(策划表!G56="","",策划表!G56)</f>
        <v/>
      </c>
      <c r="K56" t="str">
        <f>IF(策划表!H56="","",策划表!H56)</f>
        <v>我还在忙，以后再来</v>
      </c>
      <c r="L56" t="str">
        <f t="shared" si="3"/>
        <v>t_director_option1_1101002</v>
      </c>
      <c r="M56">
        <f>IF(策划表!I56="","",策划表!I56)</f>
        <v>2</v>
      </c>
      <c r="N56" t="str">
        <f>IF(策划表!J56="","",策划表!J56)</f>
        <v/>
      </c>
      <c r="O56" t="str">
        <f>IF(策划表!K56="","",策划表!K56)</f>
        <v/>
      </c>
      <c r="P56" t="str">
        <f>IF(策划表!L56="","",策划表!L56)</f>
        <v/>
      </c>
      <c r="Q56" t="str">
        <f t="shared" si="4"/>
        <v>t_director_option2_1101002</v>
      </c>
      <c r="R56" t="str">
        <f>IF(策划表!M56="","",策划表!M56)</f>
        <v/>
      </c>
      <c r="S56" t="str">
        <f>IF(策划表!N56="","",策划表!N56)</f>
        <v/>
      </c>
      <c r="T56" t="str">
        <f>IF(策划表!O56="","",策划表!O56)</f>
        <v/>
      </c>
      <c r="U56" t="str">
        <f>IF(策划表!P56="","",策划表!P56)</f>
        <v/>
      </c>
      <c r="V56" t="str">
        <f t="shared" si="5"/>
        <v>t_director_option3_1101002</v>
      </c>
      <c r="W56" t="str">
        <f>IF(策划表!Q56="","",策划表!Q56)</f>
        <v/>
      </c>
      <c r="X56" t="str">
        <f>IF(策划表!R56="","",策划表!R56)</f>
        <v/>
      </c>
      <c r="Y56" t="str">
        <f>IF(策划表!S56="","",策划表!S56)</f>
        <v/>
      </c>
    </row>
    <row r="57" spans="1:25" x14ac:dyDescent="0.15">
      <c r="A57">
        <f>策划表!A57</f>
        <v>1101100</v>
      </c>
      <c r="B57" t="str">
        <f>IF(策划表!B57="","",策划表!B57)</f>
        <v>伊迪丝</v>
      </c>
      <c r="C57" t="str">
        <f t="shared" si="0"/>
        <v>t_director_title_1101100</v>
      </c>
      <c r="D57" t="str">
        <f>IF(策划表!C57="","",策划表!C57)</f>
        <v>你获得哥布林的头骨了吗？</v>
      </c>
      <c r="E57" t="str">
        <f t="shared" si="1"/>
        <v>t_director_dialog_1101100</v>
      </c>
      <c r="F57" t="str">
        <f>IF(策划表!D57="","",策划表!D57)</f>
        <v>交纳物品</v>
      </c>
      <c r="G57" t="str">
        <f t="shared" si="2"/>
        <v>t_director_option0_1101100</v>
      </c>
      <c r="H57" t="str">
        <f>IF(策划表!E57="","",策划表!E57)</f>
        <v/>
      </c>
      <c r="I57">
        <f>IF(策划表!F57="","",策划表!F57)</f>
        <v>1101101</v>
      </c>
      <c r="J57" t="str">
        <f>IF(策划表!G57="","",策划表!G57)</f>
        <v/>
      </c>
      <c r="K57" t="str">
        <f>IF(策划表!H57="","",策划表!H57)</f>
        <v>我继续去战斗</v>
      </c>
      <c r="L57" t="str">
        <f t="shared" si="3"/>
        <v>t_director_option1_1101100</v>
      </c>
      <c r="M57">
        <f>IF(策划表!I57="","",策划表!I57)</f>
        <v>2</v>
      </c>
      <c r="N57" t="str">
        <f>IF(策划表!J57="","",策划表!J57)</f>
        <v/>
      </c>
      <c r="O57" t="str">
        <f>IF(策划表!K57="","",策划表!K57)</f>
        <v/>
      </c>
      <c r="P57" t="str">
        <f>IF(策划表!L57="","",策划表!L57)</f>
        <v/>
      </c>
      <c r="Q57" t="str">
        <f t="shared" si="4"/>
        <v>t_director_option2_1101100</v>
      </c>
      <c r="R57" t="str">
        <f>IF(策划表!M57="","",策划表!M57)</f>
        <v/>
      </c>
      <c r="S57" t="str">
        <f>IF(策划表!N57="","",策划表!N57)</f>
        <v/>
      </c>
      <c r="T57" t="str">
        <f>IF(策划表!O57="","",策划表!O57)</f>
        <v/>
      </c>
      <c r="U57" t="str">
        <f>IF(策划表!P57="","",策划表!P57)</f>
        <v/>
      </c>
      <c r="V57" t="str">
        <f t="shared" si="5"/>
        <v>t_director_option3_1101100</v>
      </c>
      <c r="W57" t="str">
        <f>IF(策划表!Q57="","",策划表!Q57)</f>
        <v/>
      </c>
      <c r="X57" t="str">
        <f>IF(策划表!R57="","",策划表!R57)</f>
        <v/>
      </c>
      <c r="Y57" t="str">
        <f>IF(策划表!S57="","",策划表!S57)</f>
        <v/>
      </c>
    </row>
    <row r="58" spans="1:25" x14ac:dyDescent="0.15">
      <c r="A58">
        <f>策划表!A58</f>
        <v>1101101</v>
      </c>
      <c r="B58" t="str">
        <f>IF(策划表!B58="","",策划表!B58)</f>
        <v>伊迪丝</v>
      </c>
      <c r="C58" t="str">
        <f t="shared" si="0"/>
        <v>t_director_title_1101101</v>
      </c>
      <c r="D58" t="str">
        <f>IF(策划表!C58="","",策划表!C58)</f>
        <v>击杀了这么多哥布林战士，足够吸引出哥布林狂战士了。冒险者，请你去讨伐哥布林狂战士，请小心，他很强。</v>
      </c>
      <c r="E58" t="str">
        <f t="shared" si="1"/>
        <v>t_director_dialog_1101101</v>
      </c>
      <c r="F58" t="str">
        <f>IF(策划表!D58="","",策划表!D58)</f>
        <v>我这就去</v>
      </c>
      <c r="G58" t="str">
        <f t="shared" si="2"/>
        <v>t_director_option0_1101101</v>
      </c>
      <c r="H58">
        <f>IF(策划表!E58="","",策划表!E58)</f>
        <v>1</v>
      </c>
      <c r="I58" t="str">
        <f>IF(策划表!F58="","",策划表!F58)</f>
        <v/>
      </c>
      <c r="J58" t="str">
        <f>IF(策划表!G58="","",策划表!G58)</f>
        <v/>
      </c>
      <c r="K58" t="str">
        <f>IF(策划表!H58="","",策划表!H58)</f>
        <v>等我更强大我再去</v>
      </c>
      <c r="L58" t="str">
        <f t="shared" si="3"/>
        <v>t_director_option1_1101101</v>
      </c>
      <c r="M58">
        <f>IF(策划表!I58="","",策划表!I58)</f>
        <v>2</v>
      </c>
      <c r="N58" t="str">
        <f>IF(策划表!J58="","",策划表!J58)</f>
        <v/>
      </c>
      <c r="O58" t="str">
        <f>IF(策划表!K58="","",策划表!K58)</f>
        <v/>
      </c>
      <c r="P58" t="str">
        <f>IF(策划表!L58="","",策划表!L58)</f>
        <v/>
      </c>
      <c r="Q58" t="str">
        <f t="shared" si="4"/>
        <v>t_director_option2_1101101</v>
      </c>
      <c r="R58" t="str">
        <f>IF(策划表!M58="","",策划表!M58)</f>
        <v/>
      </c>
      <c r="S58" t="str">
        <f>IF(策划表!N58="","",策划表!N58)</f>
        <v/>
      </c>
      <c r="T58" t="str">
        <f>IF(策划表!O58="","",策划表!O58)</f>
        <v/>
      </c>
      <c r="U58" t="str">
        <f>IF(策划表!P58="","",策划表!P58)</f>
        <v/>
      </c>
      <c r="V58" t="str">
        <f t="shared" si="5"/>
        <v>t_director_option3_1101101</v>
      </c>
      <c r="W58" t="str">
        <f>IF(策划表!Q58="","",策划表!Q58)</f>
        <v/>
      </c>
      <c r="X58" t="str">
        <f>IF(策划表!R58="","",策划表!R58)</f>
        <v/>
      </c>
      <c r="Y58" t="str">
        <f>IF(策划表!S58="","",策划表!S58)</f>
        <v/>
      </c>
    </row>
    <row r="59" spans="1:25" x14ac:dyDescent="0.15">
      <c r="A59">
        <f>策划表!A59</f>
        <v>1101110</v>
      </c>
      <c r="B59" t="str">
        <f>IF(策划表!B59="","",策划表!B59)</f>
        <v>伊迪丝</v>
      </c>
      <c r="C59" t="str">
        <f t="shared" si="0"/>
        <v>t_director_title_1101110</v>
      </c>
      <c r="D59" t="str">
        <f>IF(策划表!C59="","",策划表!C59)</f>
        <v>狂战士很强大，你讨伐他了吗？</v>
      </c>
      <c r="E59" t="str">
        <f t="shared" si="1"/>
        <v>t_director_dialog_1101110</v>
      </c>
      <c r="F59" t="str">
        <f>IF(策划表!D59="","",策划表!D59)</f>
        <v>我战胜了他</v>
      </c>
      <c r="G59" t="str">
        <f t="shared" si="2"/>
        <v>t_director_option0_1101110</v>
      </c>
      <c r="H59" t="str">
        <f>IF(策划表!E59="","",策划表!E59)</f>
        <v/>
      </c>
      <c r="I59">
        <f>IF(策划表!F59="","",策划表!F59)</f>
        <v>1101111</v>
      </c>
      <c r="J59" t="str">
        <f>IF(策划表!G59="","",策划表!G59)</f>
        <v/>
      </c>
      <c r="K59" t="str">
        <f>IF(策划表!H59="","",策划表!H59)</f>
        <v>我继续去战斗</v>
      </c>
      <c r="L59" t="str">
        <f t="shared" si="3"/>
        <v>t_director_option1_1101110</v>
      </c>
      <c r="M59">
        <f>IF(策划表!I59="","",策划表!I59)</f>
        <v>2</v>
      </c>
      <c r="N59" t="str">
        <f>IF(策划表!J59="","",策划表!J59)</f>
        <v/>
      </c>
      <c r="O59" t="str">
        <f>IF(策划表!K59="","",策划表!K59)</f>
        <v/>
      </c>
      <c r="P59" t="str">
        <f>IF(策划表!L59="","",策划表!L59)</f>
        <v/>
      </c>
      <c r="Q59" t="str">
        <f t="shared" si="4"/>
        <v>t_director_option2_1101110</v>
      </c>
      <c r="R59" t="str">
        <f>IF(策划表!M59="","",策划表!M59)</f>
        <v/>
      </c>
      <c r="S59" t="str">
        <f>IF(策划表!N59="","",策划表!N59)</f>
        <v/>
      </c>
      <c r="T59" t="str">
        <f>IF(策划表!O59="","",策划表!O59)</f>
        <v/>
      </c>
      <c r="U59" t="str">
        <f>IF(策划表!P59="","",策划表!P59)</f>
        <v/>
      </c>
      <c r="V59" t="str">
        <f t="shared" si="5"/>
        <v>t_director_option3_1101110</v>
      </c>
      <c r="W59" t="str">
        <f>IF(策划表!Q59="","",策划表!Q59)</f>
        <v/>
      </c>
      <c r="X59" t="str">
        <f>IF(策划表!R59="","",策划表!R59)</f>
        <v/>
      </c>
      <c r="Y59" t="str">
        <f>IF(策划表!S59="","",策划表!S59)</f>
        <v/>
      </c>
    </row>
    <row r="60" spans="1:25" x14ac:dyDescent="0.15">
      <c r="A60">
        <f>策划表!A60</f>
        <v>1101111</v>
      </c>
      <c r="B60" t="str">
        <f>IF(策划表!B60="","",策划表!B60)</f>
        <v>伊迪丝</v>
      </c>
      <c r="C60" t="str">
        <f t="shared" si="0"/>
        <v>t_director_title_1101111</v>
      </c>
      <c r="D60" t="str">
        <f>IF(策划表!C60="","",策划表!C60)</f>
        <v>狂战士是哥布林先知的手下，有它的地方就有哥布林先知。</v>
      </c>
      <c r="E60" t="str">
        <f t="shared" si="1"/>
        <v>t_director_dialog_1101111</v>
      </c>
      <c r="F60" t="str">
        <f>IF(策划表!D60="","",策划表!D60)</f>
        <v>…</v>
      </c>
      <c r="G60" t="str">
        <f t="shared" si="2"/>
        <v>t_director_option0_1101111</v>
      </c>
      <c r="H60" t="str">
        <f>IF(策划表!E60="","",策划表!E60)</f>
        <v/>
      </c>
      <c r="I60">
        <f>IF(策划表!F60="","",策划表!F60)</f>
        <v>1101112</v>
      </c>
      <c r="J60" t="str">
        <f>IF(策划表!G60="","",策划表!G60)</f>
        <v/>
      </c>
      <c r="K60" t="str">
        <f>IF(策划表!H60="","",策划表!H60)</f>
        <v/>
      </c>
      <c r="L60" t="str">
        <f t="shared" si="3"/>
        <v>t_director_option1_1101111</v>
      </c>
      <c r="M60" t="str">
        <f>IF(策划表!I60="","",策划表!I60)</f>
        <v/>
      </c>
      <c r="N60" t="str">
        <f>IF(策划表!J60="","",策划表!J60)</f>
        <v/>
      </c>
      <c r="O60" t="str">
        <f>IF(策划表!K60="","",策划表!K60)</f>
        <v/>
      </c>
      <c r="P60" t="str">
        <f>IF(策划表!L60="","",策划表!L60)</f>
        <v/>
      </c>
      <c r="Q60" t="str">
        <f t="shared" si="4"/>
        <v>t_director_option2_1101111</v>
      </c>
      <c r="R60" t="str">
        <f>IF(策划表!M60="","",策划表!M60)</f>
        <v/>
      </c>
      <c r="S60" t="str">
        <f>IF(策划表!N60="","",策划表!N60)</f>
        <v/>
      </c>
      <c r="T60" t="str">
        <f>IF(策划表!O60="","",策划表!O60)</f>
        <v/>
      </c>
      <c r="U60" t="str">
        <f>IF(策划表!P60="","",策划表!P60)</f>
        <v/>
      </c>
      <c r="V60" t="str">
        <f t="shared" si="5"/>
        <v>t_director_option3_1101111</v>
      </c>
      <c r="W60" t="str">
        <f>IF(策划表!Q60="","",策划表!Q60)</f>
        <v/>
      </c>
      <c r="X60" t="str">
        <f>IF(策划表!R60="","",策划表!R60)</f>
        <v/>
      </c>
      <c r="Y60" t="str">
        <f>IF(策划表!S60="","",策划表!S60)</f>
        <v/>
      </c>
    </row>
    <row r="61" spans="1:25" x14ac:dyDescent="0.15">
      <c r="A61">
        <f>策划表!A61</f>
        <v>1101112</v>
      </c>
      <c r="B61" t="str">
        <f>IF(策划表!B61="","",策划表!B61)</f>
        <v>伊迪丝</v>
      </c>
      <c r="C61" t="str">
        <f t="shared" si="0"/>
        <v>t_director_title_1101112</v>
      </c>
      <c r="D61" t="str">
        <f>IF(策划表!C61="","",策划表!C61)</f>
        <v>狂战士死了，哥布林先知恐怕很难随意出现了。哥布林营地周围应该有银月城的斥候监视，你可以询问一下他们怎么勾引出先知。</v>
      </c>
      <c r="E61" t="str">
        <f t="shared" si="1"/>
        <v>t_director_dialog_1101112</v>
      </c>
      <c r="F61" t="str">
        <f>IF(策划表!D61="","",策划表!D61)</f>
        <v>好的</v>
      </c>
      <c r="G61" t="str">
        <f t="shared" si="2"/>
        <v>t_director_option0_1101112</v>
      </c>
      <c r="H61">
        <f>IF(策划表!E61="","",策划表!E61)</f>
        <v>1</v>
      </c>
      <c r="I61" t="str">
        <f>IF(策划表!F61="","",策划表!F61)</f>
        <v/>
      </c>
      <c r="J61" t="str">
        <f>IF(策划表!G61="","",策划表!G61)</f>
        <v/>
      </c>
      <c r="K61" t="str">
        <f>IF(策划表!H61="","",策划表!H61)</f>
        <v/>
      </c>
      <c r="L61" t="str">
        <f t="shared" si="3"/>
        <v>t_director_option1_1101112</v>
      </c>
      <c r="M61" t="str">
        <f>IF(策划表!I61="","",策划表!I61)</f>
        <v/>
      </c>
      <c r="N61" t="str">
        <f>IF(策划表!J61="","",策划表!J61)</f>
        <v/>
      </c>
      <c r="O61" t="str">
        <f>IF(策划表!K61="","",策划表!K61)</f>
        <v/>
      </c>
      <c r="P61" t="str">
        <f>IF(策划表!L61="","",策划表!L61)</f>
        <v/>
      </c>
      <c r="Q61" t="str">
        <f t="shared" si="4"/>
        <v>t_director_option2_1101112</v>
      </c>
      <c r="R61" t="str">
        <f>IF(策划表!M61="","",策划表!M61)</f>
        <v/>
      </c>
      <c r="S61" t="str">
        <f>IF(策划表!N61="","",策划表!N61)</f>
        <v/>
      </c>
      <c r="T61" t="str">
        <f>IF(策划表!O61="","",策划表!O61)</f>
        <v/>
      </c>
      <c r="U61" t="str">
        <f>IF(策划表!P61="","",策划表!P61)</f>
        <v/>
      </c>
      <c r="V61" t="str">
        <f t="shared" si="5"/>
        <v>t_director_option3_1101112</v>
      </c>
      <c r="W61" t="str">
        <f>IF(策划表!Q61="","",策划表!Q61)</f>
        <v/>
      </c>
      <c r="X61" t="str">
        <f>IF(策划表!R61="","",策划表!R61)</f>
        <v/>
      </c>
      <c r="Y61" t="str">
        <f>IF(策划表!S61="","",策划表!S61)</f>
        <v/>
      </c>
    </row>
    <row r="62" spans="1:25" x14ac:dyDescent="0.15">
      <c r="A62">
        <f>策划表!A62</f>
        <v>1101150</v>
      </c>
      <c r="B62" t="str">
        <f>IF(策划表!B62="","",策划表!B62)</f>
        <v>皮特曼</v>
      </c>
      <c r="C62" t="str">
        <f t="shared" si="0"/>
        <v>t_director_title_1101150</v>
      </c>
      <c r="D62" t="str">
        <f>IF(策划表!C62="","",策划表!C62)</f>
        <v>我是银月城的斥候，你快离开这里，这里是哥布林的营地。</v>
      </c>
      <c r="E62" t="str">
        <f t="shared" si="1"/>
        <v>t_director_dialog_1101150</v>
      </c>
      <c r="F62" t="str">
        <f>IF(策划表!D62="","",策划表!D62)</f>
        <v>伊迪丝让我来的</v>
      </c>
      <c r="G62" t="str">
        <f t="shared" si="2"/>
        <v>t_director_option0_1101150</v>
      </c>
      <c r="H62" t="str">
        <f>IF(策划表!E62="","",策划表!E62)</f>
        <v/>
      </c>
      <c r="I62">
        <f>IF(策划表!F62="","",策划表!F62)</f>
        <v>1101151</v>
      </c>
      <c r="J62" t="str">
        <f>IF(策划表!G62="","",策划表!G62)</f>
        <v/>
      </c>
      <c r="K62" t="str">
        <f>IF(策划表!H62="","",策划表!H62)</f>
        <v/>
      </c>
      <c r="L62" t="str">
        <f t="shared" si="3"/>
        <v>t_director_option1_1101150</v>
      </c>
      <c r="M62" t="str">
        <f>IF(策划表!I62="","",策划表!I62)</f>
        <v/>
      </c>
      <c r="N62" t="str">
        <f>IF(策划表!J62="","",策划表!J62)</f>
        <v/>
      </c>
      <c r="O62" t="str">
        <f>IF(策划表!K62="","",策划表!K62)</f>
        <v/>
      </c>
      <c r="P62" t="str">
        <f>IF(策划表!L62="","",策划表!L62)</f>
        <v/>
      </c>
      <c r="Q62" t="str">
        <f t="shared" si="4"/>
        <v>t_director_option2_1101150</v>
      </c>
      <c r="R62" t="str">
        <f>IF(策划表!M62="","",策划表!M62)</f>
        <v/>
      </c>
      <c r="S62" t="str">
        <f>IF(策划表!N62="","",策划表!N62)</f>
        <v/>
      </c>
      <c r="T62" t="str">
        <f>IF(策划表!O62="","",策划表!O62)</f>
        <v/>
      </c>
      <c r="U62" t="str">
        <f>IF(策划表!P62="","",策划表!P62)</f>
        <v/>
      </c>
      <c r="V62" t="str">
        <f t="shared" si="5"/>
        <v>t_director_option3_1101150</v>
      </c>
      <c r="W62" t="str">
        <f>IF(策划表!Q62="","",策划表!Q62)</f>
        <v/>
      </c>
      <c r="X62" t="str">
        <f>IF(策划表!R62="","",策划表!R62)</f>
        <v/>
      </c>
      <c r="Y62" t="str">
        <f>IF(策划表!S62="","",策划表!S62)</f>
        <v/>
      </c>
    </row>
    <row r="63" spans="1:25" x14ac:dyDescent="0.15">
      <c r="A63">
        <f>策划表!A63</f>
        <v>1101151</v>
      </c>
      <c r="B63" t="str">
        <f>IF(策划表!B63="","",策划表!B63)</f>
        <v>皮特曼</v>
      </c>
      <c r="C63" t="str">
        <f t="shared" si="0"/>
        <v>t_director_title_1101151</v>
      </c>
      <c r="D63" t="str">
        <f>IF(策划表!C63="","",策划表!C63)</f>
        <v>看刷子公会的精英啊，阁下终于来了，我终于可以离开这里了。</v>
      </c>
      <c r="E63" t="str">
        <f t="shared" si="1"/>
        <v>t_director_dialog_1101151</v>
      </c>
      <c r="F63" t="str">
        <f>IF(策划表!D63="","",策划表!D63)</f>
        <v>…</v>
      </c>
      <c r="G63" t="str">
        <f t="shared" si="2"/>
        <v>t_director_option0_1101151</v>
      </c>
      <c r="H63" t="str">
        <f>IF(策划表!E63="","",策划表!E63)</f>
        <v/>
      </c>
      <c r="I63">
        <f>IF(策划表!F63="","",策划表!F63)</f>
        <v>1101152</v>
      </c>
      <c r="J63" t="str">
        <f>IF(策划表!G63="","",策划表!G63)</f>
        <v/>
      </c>
      <c r="K63" t="str">
        <f>IF(策划表!H63="","",策划表!H63)</f>
        <v/>
      </c>
      <c r="L63" t="str">
        <f t="shared" si="3"/>
        <v>t_director_option1_1101151</v>
      </c>
      <c r="M63" t="str">
        <f>IF(策划表!I63="","",策划表!I63)</f>
        <v/>
      </c>
      <c r="N63" t="str">
        <f>IF(策划表!J63="","",策划表!J63)</f>
        <v/>
      </c>
      <c r="O63" t="str">
        <f>IF(策划表!K63="","",策划表!K63)</f>
        <v/>
      </c>
      <c r="P63" t="str">
        <f>IF(策划表!L63="","",策划表!L63)</f>
        <v/>
      </c>
      <c r="Q63" t="str">
        <f t="shared" si="4"/>
        <v>t_director_option2_1101151</v>
      </c>
      <c r="R63" t="str">
        <f>IF(策划表!M63="","",策划表!M63)</f>
        <v/>
      </c>
      <c r="S63" t="str">
        <f>IF(策划表!N63="","",策划表!N63)</f>
        <v/>
      </c>
      <c r="T63" t="str">
        <f>IF(策划表!O63="","",策划表!O63)</f>
        <v/>
      </c>
      <c r="U63" t="str">
        <f>IF(策划表!P63="","",策划表!P63)</f>
        <v/>
      </c>
      <c r="V63" t="str">
        <f t="shared" si="5"/>
        <v>t_director_option3_1101151</v>
      </c>
      <c r="W63" t="str">
        <f>IF(策划表!Q63="","",策划表!Q63)</f>
        <v/>
      </c>
      <c r="X63" t="str">
        <f>IF(策划表!R63="","",策划表!R63)</f>
        <v/>
      </c>
      <c r="Y63" t="str">
        <f>IF(策划表!S63="","",策划表!S63)</f>
        <v/>
      </c>
    </row>
    <row r="64" spans="1:25" x14ac:dyDescent="0.15">
      <c r="A64">
        <f>策划表!A64</f>
        <v>1101152</v>
      </c>
      <c r="B64" t="str">
        <f>IF(策划表!B64="","",策划表!B64)</f>
        <v>皮特曼</v>
      </c>
      <c r="C64" t="str">
        <f t="shared" si="0"/>
        <v>t_director_title_1101152</v>
      </c>
      <c r="D64" t="str">
        <f>IF(策划表!C64="","",策划表!C64)</f>
        <v>之前不知道是谁讨伐了哥布林狂战士，现在哥布林先知基本不现身了。</v>
      </c>
      <c r="E64" t="str">
        <f t="shared" si="1"/>
        <v>t_director_dialog_1101152</v>
      </c>
      <c r="F64" t="str">
        <f>IF(策划表!D64="","",策划表!D64)</f>
        <v>…</v>
      </c>
      <c r="G64" t="str">
        <f t="shared" si="2"/>
        <v>t_director_option0_1101152</v>
      </c>
      <c r="H64" t="str">
        <f>IF(策划表!E64="","",策划表!E64)</f>
        <v/>
      </c>
      <c r="I64">
        <f>IF(策划表!F64="","",策划表!F64)</f>
        <v>1101153</v>
      </c>
      <c r="J64" t="str">
        <f>IF(策划表!G64="","",策划表!G64)</f>
        <v/>
      </c>
      <c r="K64" t="str">
        <f>IF(策划表!H64="","",策划表!H64)</f>
        <v>是我</v>
      </c>
      <c r="L64" t="str">
        <f t="shared" si="3"/>
        <v>t_director_option1_1101152</v>
      </c>
      <c r="M64" t="str">
        <f>IF(策划表!I64="","",策划表!I64)</f>
        <v/>
      </c>
      <c r="N64">
        <f>IF(策划表!J64="","",策划表!J64)</f>
        <v>1101155</v>
      </c>
      <c r="O64" t="str">
        <f>IF(策划表!K64="","",策划表!K64)</f>
        <v/>
      </c>
      <c r="P64" t="str">
        <f>IF(策划表!L64="","",策划表!L64)</f>
        <v/>
      </c>
      <c r="Q64" t="str">
        <f t="shared" si="4"/>
        <v>t_director_option2_1101152</v>
      </c>
      <c r="R64" t="str">
        <f>IF(策划表!M64="","",策划表!M64)</f>
        <v/>
      </c>
      <c r="S64" t="str">
        <f>IF(策划表!N64="","",策划表!N64)</f>
        <v/>
      </c>
      <c r="T64" t="str">
        <f>IF(策划表!O64="","",策划表!O64)</f>
        <v/>
      </c>
      <c r="U64" t="str">
        <f>IF(策划表!P64="","",策划表!P64)</f>
        <v/>
      </c>
      <c r="V64" t="str">
        <f t="shared" si="5"/>
        <v>t_director_option3_1101152</v>
      </c>
      <c r="W64" t="str">
        <f>IF(策划表!Q64="","",策划表!Q64)</f>
        <v/>
      </c>
      <c r="X64" t="str">
        <f>IF(策划表!R64="","",策划表!R64)</f>
        <v/>
      </c>
      <c r="Y64" t="str">
        <f>IF(策划表!S64="","",策划表!S64)</f>
        <v/>
      </c>
    </row>
    <row r="65" spans="1:25" x14ac:dyDescent="0.15">
      <c r="A65">
        <f>策划表!A65</f>
        <v>1101153</v>
      </c>
      <c r="B65" t="str">
        <f>IF(策划表!B65="","",策划表!B65)</f>
        <v>皮特曼</v>
      </c>
      <c r="C65" t="str">
        <f t="shared" si="0"/>
        <v>t_director_title_1101153</v>
      </c>
      <c r="D65" t="str">
        <f>IF(策划表!C65="","",策划表!C65)</f>
        <v>想要勾引出哥布林先知，需要先去击杀哥布林法师，哥布林先知必定会出现与你战斗。</v>
      </c>
      <c r="E65" t="str">
        <f t="shared" si="1"/>
        <v>t_director_dialog_1101153</v>
      </c>
      <c r="F65" t="str">
        <f>IF(策划表!D65="","",策划表!D65)</f>
        <v>好的</v>
      </c>
      <c r="G65" t="str">
        <f t="shared" si="2"/>
        <v>t_director_option0_1101153</v>
      </c>
      <c r="H65" t="str">
        <f>IF(策划表!E65="","",策划表!E65)</f>
        <v/>
      </c>
      <c r="I65">
        <f>IF(策划表!F65="","",策划表!F65)</f>
        <v>1101154</v>
      </c>
      <c r="J65" t="str">
        <f>IF(策划表!G65="","",策划表!G65)</f>
        <v/>
      </c>
      <c r="K65" t="str">
        <f>IF(策划表!H65="","",策划表!H65)</f>
        <v/>
      </c>
      <c r="L65" t="str">
        <f t="shared" si="3"/>
        <v>t_director_option1_1101153</v>
      </c>
      <c r="M65" t="str">
        <f>IF(策划表!I65="","",策划表!I65)</f>
        <v/>
      </c>
      <c r="N65" t="str">
        <f>IF(策划表!J65="","",策划表!J65)</f>
        <v/>
      </c>
      <c r="O65" t="str">
        <f>IF(策划表!K65="","",策划表!K65)</f>
        <v/>
      </c>
      <c r="P65" t="str">
        <f>IF(策划表!L65="","",策划表!L65)</f>
        <v/>
      </c>
      <c r="Q65" t="str">
        <f t="shared" si="4"/>
        <v>t_director_option2_1101153</v>
      </c>
      <c r="R65" t="str">
        <f>IF(策划表!M65="","",策划表!M65)</f>
        <v/>
      </c>
      <c r="S65" t="str">
        <f>IF(策划表!N65="","",策划表!N65)</f>
        <v/>
      </c>
      <c r="T65" t="str">
        <f>IF(策划表!O65="","",策划表!O65)</f>
        <v/>
      </c>
      <c r="U65" t="str">
        <f>IF(策划表!P65="","",策划表!P65)</f>
        <v/>
      </c>
      <c r="V65" t="str">
        <f t="shared" si="5"/>
        <v>t_director_option3_1101153</v>
      </c>
      <c r="W65" t="str">
        <f>IF(策划表!Q65="","",策划表!Q65)</f>
        <v/>
      </c>
      <c r="X65" t="str">
        <f>IF(策划表!R65="","",策划表!R65)</f>
        <v/>
      </c>
      <c r="Y65" t="str">
        <f>IF(策划表!S65="","",策划表!S65)</f>
        <v/>
      </c>
    </row>
    <row r="66" spans="1:25" x14ac:dyDescent="0.15">
      <c r="A66">
        <f>策划表!A66</f>
        <v>1101154</v>
      </c>
      <c r="B66" t="str">
        <f>IF(策划表!B66="","",策划表!B66)</f>
        <v>皮特曼</v>
      </c>
      <c r="C66" t="str">
        <f t="shared" si="0"/>
        <v>t_director_title_1101154</v>
      </c>
      <c r="D66" t="str">
        <f>IF(策划表!C66="","",策划表!C66)</f>
        <v>那祝阁下好运。</v>
      </c>
      <c r="E66" t="str">
        <f t="shared" si="1"/>
        <v>t_director_dialog_1101154</v>
      </c>
      <c r="F66" t="str">
        <f>IF(策划表!D66="","",策划表!D66)</f>
        <v>谢谢</v>
      </c>
      <c r="G66" t="str">
        <f t="shared" si="2"/>
        <v>t_director_option0_1101154</v>
      </c>
      <c r="H66">
        <f>IF(策划表!E66="","",策划表!E66)</f>
        <v>1</v>
      </c>
      <c r="I66" t="str">
        <f>IF(策划表!F66="","",策划表!F66)</f>
        <v/>
      </c>
      <c r="J66" t="str">
        <f>IF(策划表!G66="","",策划表!G66)</f>
        <v/>
      </c>
      <c r="K66" t="str">
        <f>IF(策划表!H66="","",策划表!H66)</f>
        <v/>
      </c>
      <c r="L66" t="str">
        <f t="shared" si="3"/>
        <v>t_director_option1_1101154</v>
      </c>
      <c r="M66" t="str">
        <f>IF(策划表!I66="","",策划表!I66)</f>
        <v/>
      </c>
      <c r="N66" t="str">
        <f>IF(策划表!J66="","",策划表!J66)</f>
        <v/>
      </c>
      <c r="O66" t="str">
        <f>IF(策划表!K66="","",策划表!K66)</f>
        <v/>
      </c>
      <c r="P66" t="str">
        <f>IF(策划表!L66="","",策划表!L66)</f>
        <v/>
      </c>
      <c r="Q66" t="str">
        <f t="shared" si="4"/>
        <v>t_director_option2_1101154</v>
      </c>
      <c r="R66" t="str">
        <f>IF(策划表!M66="","",策划表!M66)</f>
        <v/>
      </c>
      <c r="S66" t="str">
        <f>IF(策划表!N66="","",策划表!N66)</f>
        <v/>
      </c>
      <c r="T66" t="str">
        <f>IF(策划表!O66="","",策划表!O66)</f>
        <v/>
      </c>
      <c r="U66" t="str">
        <f>IF(策划表!P66="","",策划表!P66)</f>
        <v/>
      </c>
      <c r="V66" t="str">
        <f t="shared" si="5"/>
        <v>t_director_option3_1101154</v>
      </c>
      <c r="W66" t="str">
        <f>IF(策划表!Q66="","",策划表!Q66)</f>
        <v/>
      </c>
      <c r="X66" t="str">
        <f>IF(策划表!R66="","",策划表!R66)</f>
        <v/>
      </c>
      <c r="Y66" t="str">
        <f>IF(策划表!S66="","",策划表!S66)</f>
        <v/>
      </c>
    </row>
    <row r="67" spans="1:25" x14ac:dyDescent="0.15">
      <c r="A67">
        <f>策划表!A67</f>
        <v>1101155</v>
      </c>
      <c r="B67" t="str">
        <f>IF(策划表!B67="","",策划表!B67)</f>
        <v>皮特曼</v>
      </c>
      <c r="C67" t="str">
        <f t="shared" si="0"/>
        <v>t_director_title_1101155</v>
      </c>
      <c r="D67" t="str">
        <f>IF(策划表!C67="","",策划表!C67)</f>
        <v>哎呀，一看阁下就是强者，怪不得会被派来讨伐哥布林先知。</v>
      </c>
      <c r="E67" t="str">
        <f t="shared" si="1"/>
        <v>t_director_dialog_1101155</v>
      </c>
      <c r="F67" t="str">
        <f>IF(策划表!D67="","",策划表!D67)</f>
        <v>…</v>
      </c>
      <c r="G67" t="str">
        <f t="shared" si="2"/>
        <v>t_director_option0_1101155</v>
      </c>
      <c r="H67" t="str">
        <f>IF(策划表!E67="","",策划表!E67)</f>
        <v/>
      </c>
      <c r="I67">
        <f>IF(策划表!F67="","",策划表!F67)</f>
        <v>1101153</v>
      </c>
      <c r="J67" t="str">
        <f>IF(策划表!G67="","",策划表!G67)</f>
        <v/>
      </c>
      <c r="K67" t="str">
        <f>IF(策划表!H67="","",策划表!H67)</f>
        <v/>
      </c>
      <c r="L67" t="str">
        <f t="shared" si="3"/>
        <v>t_director_option1_1101155</v>
      </c>
      <c r="M67" t="str">
        <f>IF(策划表!I67="","",策划表!I67)</f>
        <v/>
      </c>
      <c r="N67" t="str">
        <f>IF(策划表!J67="","",策划表!J67)</f>
        <v/>
      </c>
      <c r="O67" t="str">
        <f>IF(策划表!K67="","",策划表!K67)</f>
        <v/>
      </c>
      <c r="P67" t="str">
        <f>IF(策划表!L67="","",策划表!L67)</f>
        <v/>
      </c>
      <c r="Q67" t="str">
        <f t="shared" si="4"/>
        <v>t_director_option2_1101155</v>
      </c>
      <c r="R67" t="str">
        <f>IF(策划表!M67="","",策划表!M67)</f>
        <v/>
      </c>
      <c r="S67" t="str">
        <f>IF(策划表!N67="","",策划表!N67)</f>
        <v/>
      </c>
      <c r="T67" t="str">
        <f>IF(策划表!O67="","",策划表!O67)</f>
        <v/>
      </c>
      <c r="U67" t="str">
        <f>IF(策划表!P67="","",策划表!P67)</f>
        <v/>
      </c>
      <c r="V67" t="str">
        <f t="shared" si="5"/>
        <v>t_director_option3_1101155</v>
      </c>
      <c r="W67" t="str">
        <f>IF(策划表!Q67="","",策划表!Q67)</f>
        <v/>
      </c>
      <c r="X67" t="str">
        <f>IF(策划表!R67="","",策划表!R67)</f>
        <v/>
      </c>
      <c r="Y67" t="str">
        <f>IF(策划表!S67="","",策划表!S67)</f>
        <v/>
      </c>
    </row>
    <row r="68" spans="1:25" x14ac:dyDescent="0.15">
      <c r="A68">
        <f>策划表!A68</f>
        <v>1101200</v>
      </c>
      <c r="B68" t="str">
        <f>IF(策划表!B68="","",策划表!B68)</f>
        <v>伊迪丝</v>
      </c>
      <c r="C68" t="str">
        <f t="shared" si="0"/>
        <v>t_director_title_1101200</v>
      </c>
      <c r="D68" t="str">
        <f>IF(策划表!C68="","",策划表!C68)</f>
        <v>你讨伐了哥布林先知了吗？</v>
      </c>
      <c r="E68" t="str">
        <f t="shared" si="1"/>
        <v>t_director_dialog_1101200</v>
      </c>
      <c r="F68" t="str">
        <f>IF(策划表!D68="","",策划表!D68)</f>
        <v>已经讨伐了</v>
      </c>
      <c r="G68" t="str">
        <f t="shared" si="2"/>
        <v>t_director_option0_1101200</v>
      </c>
      <c r="H68" t="str">
        <f>IF(策划表!E68="","",策划表!E68)</f>
        <v/>
      </c>
      <c r="I68">
        <f>IF(策划表!F68="","",策划表!F68)</f>
        <v>1101201</v>
      </c>
      <c r="J68" t="str">
        <f>IF(策划表!G68="","",策划表!G68)</f>
        <v/>
      </c>
      <c r="K68" t="str">
        <f>IF(策划表!H68="","",策划表!H68)</f>
        <v>暂时还没有，我继续去讨伐他</v>
      </c>
      <c r="L68" t="str">
        <f t="shared" si="3"/>
        <v>t_director_option1_1101200</v>
      </c>
      <c r="M68">
        <f>IF(策划表!I68="","",策划表!I68)</f>
        <v>2</v>
      </c>
      <c r="N68" t="str">
        <f>IF(策划表!J68="","",策划表!J68)</f>
        <v/>
      </c>
      <c r="O68" t="str">
        <f>IF(策划表!K68="","",策划表!K68)</f>
        <v/>
      </c>
      <c r="P68" t="str">
        <f>IF(策划表!L68="","",策划表!L68)</f>
        <v/>
      </c>
      <c r="Q68" t="str">
        <f t="shared" si="4"/>
        <v>t_director_option2_1101200</v>
      </c>
      <c r="R68" t="str">
        <f>IF(策划表!M68="","",策划表!M68)</f>
        <v/>
      </c>
      <c r="S68" t="str">
        <f>IF(策划表!N68="","",策划表!N68)</f>
        <v/>
      </c>
      <c r="T68" t="str">
        <f>IF(策划表!O68="","",策划表!O68)</f>
        <v/>
      </c>
      <c r="U68" t="str">
        <f>IF(策划表!P68="","",策划表!P68)</f>
        <v/>
      </c>
      <c r="V68" t="str">
        <f t="shared" si="5"/>
        <v>t_director_option3_1101200</v>
      </c>
      <c r="W68" t="str">
        <f>IF(策划表!Q68="","",策划表!Q68)</f>
        <v/>
      </c>
      <c r="X68" t="str">
        <f>IF(策划表!R68="","",策划表!R68)</f>
        <v/>
      </c>
      <c r="Y68" t="str">
        <f>IF(策划表!S68="","",策划表!S68)</f>
        <v/>
      </c>
    </row>
    <row r="69" spans="1:25" x14ac:dyDescent="0.15">
      <c r="A69">
        <f>策划表!A69</f>
        <v>1101201</v>
      </c>
      <c r="B69" t="str">
        <f>IF(策划表!B69="","",策划表!B69)</f>
        <v>伊迪丝</v>
      </c>
      <c r="C69" t="str">
        <f t="shared" ref="C69:C132" si="6">"t_director_title_"&amp;A69</f>
        <v>t_director_title_1101201</v>
      </c>
      <c r="D69" t="str">
        <f>IF(策划表!C69="","",策划表!C69)</f>
        <v>你的实力果然和缇娜说的一样强大。你夺回了属于人类的地盘。</v>
      </c>
      <c r="E69" t="str">
        <f t="shared" ref="E69:E132" si="7">"t_director_dialog_"&amp;A69</f>
        <v>t_director_dialog_1101201</v>
      </c>
      <c r="F69" t="str">
        <f>IF(策划表!D69="","",策划表!D69)</f>
        <v>你认识缇娜？</v>
      </c>
      <c r="G69" t="str">
        <f t="shared" ref="G69:G132" si="8">"t_director_option0_"&amp;A69</f>
        <v>t_director_option0_1101201</v>
      </c>
      <c r="H69" t="str">
        <f>IF(策划表!E69="","",策划表!E69)</f>
        <v/>
      </c>
      <c r="I69">
        <f>IF(策划表!F69="","",策划表!F69)</f>
        <v>1101202</v>
      </c>
      <c r="J69" t="str">
        <f>IF(策划表!G69="","",策划表!G69)</f>
        <v/>
      </c>
      <c r="K69" t="str">
        <f>IF(策划表!H69="","",策划表!H69)</f>
        <v/>
      </c>
      <c r="L69" t="str">
        <f t="shared" ref="L69:L132" si="9">"t_director_option1_"&amp;A69</f>
        <v>t_director_option1_1101201</v>
      </c>
      <c r="M69" t="str">
        <f>IF(策划表!I69="","",策划表!I69)</f>
        <v/>
      </c>
      <c r="N69" t="str">
        <f>IF(策划表!J69="","",策划表!J69)</f>
        <v/>
      </c>
      <c r="O69" t="str">
        <f>IF(策划表!K69="","",策划表!K69)</f>
        <v/>
      </c>
      <c r="P69" t="str">
        <f>IF(策划表!L69="","",策划表!L69)</f>
        <v/>
      </c>
      <c r="Q69" t="str">
        <f t="shared" ref="Q69:Q132" si="10">"t_director_option2_"&amp;A69</f>
        <v>t_director_option2_1101201</v>
      </c>
      <c r="R69" t="str">
        <f>IF(策划表!M69="","",策划表!M69)</f>
        <v/>
      </c>
      <c r="S69" t="str">
        <f>IF(策划表!N69="","",策划表!N69)</f>
        <v/>
      </c>
      <c r="T69" t="str">
        <f>IF(策划表!O69="","",策划表!O69)</f>
        <v/>
      </c>
      <c r="U69" t="str">
        <f>IF(策划表!P69="","",策划表!P69)</f>
        <v/>
      </c>
      <c r="V69" t="str">
        <f t="shared" ref="V69:V132" si="11">"t_director_option3_"&amp;A69</f>
        <v>t_director_option3_1101201</v>
      </c>
      <c r="W69" t="str">
        <f>IF(策划表!Q69="","",策划表!Q69)</f>
        <v/>
      </c>
      <c r="X69" t="str">
        <f>IF(策划表!R69="","",策划表!R69)</f>
        <v/>
      </c>
      <c r="Y69" t="str">
        <f>IF(策划表!S69="","",策划表!S69)</f>
        <v/>
      </c>
    </row>
    <row r="70" spans="1:25" x14ac:dyDescent="0.15">
      <c r="A70">
        <f>策划表!A70</f>
        <v>1101202</v>
      </c>
      <c r="B70" t="str">
        <f>IF(策划表!B70="","",策划表!B70)</f>
        <v>伊迪丝</v>
      </c>
      <c r="C70" t="str">
        <f t="shared" si="6"/>
        <v>t_director_title_1101202</v>
      </c>
      <c r="D70" t="str">
        <f>IF(策划表!C70="","",策划表!C70)</f>
        <v>卡玛刚来过，提起你是城中缇娜的朋友。缇娜，最近好像很勤奋的在帮助大家。</v>
      </c>
      <c r="E70" t="str">
        <f t="shared" si="7"/>
        <v>t_director_dialog_1101202</v>
      </c>
      <c r="F70" t="str">
        <f>IF(策划表!D70="","",策划表!D70)</f>
        <v>缇娜一向这么善良</v>
      </c>
      <c r="G70" t="str">
        <f t="shared" si="8"/>
        <v>t_director_option0_1101202</v>
      </c>
      <c r="H70" t="str">
        <f>IF(策划表!E70="","",策划表!E70)</f>
        <v/>
      </c>
      <c r="I70">
        <f>IF(策划表!F70="","",策划表!F70)</f>
        <v>1101203</v>
      </c>
      <c r="J70" t="str">
        <f>IF(策划表!G70="","",策划表!G70)</f>
        <v/>
      </c>
      <c r="K70" t="str">
        <f>IF(策划表!H70="","",策划表!H70)</f>
        <v/>
      </c>
      <c r="L70" t="str">
        <f t="shared" si="9"/>
        <v>t_director_option1_1101202</v>
      </c>
      <c r="M70" t="str">
        <f>IF(策划表!I70="","",策划表!I70)</f>
        <v/>
      </c>
      <c r="N70" t="str">
        <f>IF(策划表!J70="","",策划表!J70)</f>
        <v/>
      </c>
      <c r="O70" t="str">
        <f>IF(策划表!K70="","",策划表!K70)</f>
        <v/>
      </c>
      <c r="P70" t="str">
        <f>IF(策划表!L70="","",策划表!L70)</f>
        <v/>
      </c>
      <c r="Q70" t="str">
        <f t="shared" si="10"/>
        <v>t_director_option2_1101202</v>
      </c>
      <c r="R70" t="str">
        <f>IF(策划表!M70="","",策划表!M70)</f>
        <v/>
      </c>
      <c r="S70" t="str">
        <f>IF(策划表!N70="","",策划表!N70)</f>
        <v/>
      </c>
      <c r="T70" t="str">
        <f>IF(策划表!O70="","",策划表!O70)</f>
        <v/>
      </c>
      <c r="U70" t="str">
        <f>IF(策划表!P70="","",策划表!P70)</f>
        <v/>
      </c>
      <c r="V70" t="str">
        <f t="shared" si="11"/>
        <v>t_director_option3_1101202</v>
      </c>
      <c r="W70" t="str">
        <f>IF(策划表!Q70="","",策划表!Q70)</f>
        <v/>
      </c>
      <c r="X70" t="str">
        <f>IF(策划表!R70="","",策划表!R70)</f>
        <v/>
      </c>
      <c r="Y70" t="str">
        <f>IF(策划表!S70="","",策划表!S70)</f>
        <v/>
      </c>
    </row>
    <row r="71" spans="1:25" x14ac:dyDescent="0.15">
      <c r="A71">
        <f>策划表!A71</f>
        <v>1101203</v>
      </c>
      <c r="B71" t="str">
        <f>IF(策划表!B71="","",策划表!B71)</f>
        <v>伊迪丝</v>
      </c>
      <c r="C71" t="str">
        <f t="shared" si="6"/>
        <v>t_director_title_1101203</v>
      </c>
      <c r="D71" t="str">
        <f>IF(策划表!C71="","",策划表!C71)</f>
        <v>那你也使出全力，为人类的未来奉献一份力量吧。</v>
      </c>
      <c r="E71" t="str">
        <f t="shared" si="7"/>
        <v>t_director_dialog_1101203</v>
      </c>
      <c r="F71" t="str">
        <f>IF(策划表!D71="","",策划表!D71)</f>
        <v>…</v>
      </c>
      <c r="G71" t="str">
        <f t="shared" si="8"/>
        <v>t_director_option0_1101203</v>
      </c>
      <c r="H71" t="str">
        <f>IF(策划表!E71="","",策划表!E71)</f>
        <v/>
      </c>
      <c r="I71">
        <f>IF(策划表!F71="","",策划表!F71)</f>
        <v>1101204</v>
      </c>
      <c r="J71" t="str">
        <f>IF(策划表!G71="","",策划表!G71)</f>
        <v/>
      </c>
      <c r="K71" t="str">
        <f>IF(策划表!H71="","",策划表!H71)</f>
        <v/>
      </c>
      <c r="L71" t="str">
        <f t="shared" si="9"/>
        <v>t_director_option1_1101203</v>
      </c>
      <c r="M71" t="str">
        <f>IF(策划表!I71="","",策划表!I71)</f>
        <v/>
      </c>
      <c r="N71" t="str">
        <f>IF(策划表!J71="","",策划表!J71)</f>
        <v/>
      </c>
      <c r="O71" t="str">
        <f>IF(策划表!K71="","",策划表!K71)</f>
        <v/>
      </c>
      <c r="P71" t="str">
        <f>IF(策划表!L71="","",策划表!L71)</f>
        <v/>
      </c>
      <c r="Q71" t="str">
        <f t="shared" si="10"/>
        <v>t_director_option2_1101203</v>
      </c>
      <c r="R71" t="str">
        <f>IF(策划表!M71="","",策划表!M71)</f>
        <v/>
      </c>
      <c r="S71" t="str">
        <f>IF(策划表!N71="","",策划表!N71)</f>
        <v/>
      </c>
      <c r="T71" t="str">
        <f>IF(策划表!O71="","",策划表!O71)</f>
        <v/>
      </c>
      <c r="U71" t="str">
        <f>IF(策划表!P71="","",策划表!P71)</f>
        <v/>
      </c>
      <c r="V71" t="str">
        <f t="shared" si="11"/>
        <v>t_director_option3_1101203</v>
      </c>
      <c r="W71" t="str">
        <f>IF(策划表!Q71="","",策划表!Q71)</f>
        <v/>
      </c>
      <c r="X71" t="str">
        <f>IF(策划表!R71="","",策划表!R71)</f>
        <v/>
      </c>
      <c r="Y71" t="str">
        <f>IF(策划表!S71="","",策划表!S71)</f>
        <v/>
      </c>
    </row>
    <row r="72" spans="1:25" x14ac:dyDescent="0.15">
      <c r="A72">
        <f>策划表!A72</f>
        <v>1101204</v>
      </c>
      <c r="B72" t="str">
        <f>IF(策划表!B72="","",策划表!B72)</f>
        <v>伊迪丝</v>
      </c>
      <c r="C72" t="str">
        <f t="shared" si="6"/>
        <v>t_director_title_1101204</v>
      </c>
      <c r="D72" t="str">
        <f>IF(策划表!C72="","",策划表!C72)</f>
        <v>哥布林先知有一个宝石，你获得了吗。</v>
      </c>
      <c r="E72" t="str">
        <f t="shared" si="7"/>
        <v>t_director_dialog_1101204</v>
      </c>
      <c r="F72" t="str">
        <f>IF(策划表!D72="","",策划表!D72)</f>
        <v>正要告诉你，我获得了哥布林的宝石</v>
      </c>
      <c r="G72" t="str">
        <f t="shared" si="8"/>
        <v>t_director_option0_1101204</v>
      </c>
      <c r="H72" t="str">
        <f>IF(策划表!E72="","",策划表!E72)</f>
        <v/>
      </c>
      <c r="I72">
        <f>IF(策划表!F72="","",策划表!F72)</f>
        <v>1101205</v>
      </c>
      <c r="J72" t="str">
        <f>IF(策划表!G72="","",策划表!G72)</f>
        <v/>
      </c>
      <c r="K72" t="str">
        <f>IF(策划表!H72="","",策划表!H72)</f>
        <v/>
      </c>
      <c r="L72" t="str">
        <f t="shared" si="9"/>
        <v>t_director_option1_1101204</v>
      </c>
      <c r="M72" t="str">
        <f>IF(策划表!I72="","",策划表!I72)</f>
        <v/>
      </c>
      <c r="N72" t="str">
        <f>IF(策划表!J72="","",策划表!J72)</f>
        <v/>
      </c>
      <c r="O72" t="str">
        <f>IF(策划表!K72="","",策划表!K72)</f>
        <v/>
      </c>
      <c r="P72" t="str">
        <f>IF(策划表!L72="","",策划表!L72)</f>
        <v/>
      </c>
      <c r="Q72" t="str">
        <f t="shared" si="10"/>
        <v>t_director_option2_1101204</v>
      </c>
      <c r="R72" t="str">
        <f>IF(策划表!M72="","",策划表!M72)</f>
        <v/>
      </c>
      <c r="S72" t="str">
        <f>IF(策划表!N72="","",策划表!N72)</f>
        <v/>
      </c>
      <c r="T72" t="str">
        <f>IF(策划表!O72="","",策划表!O72)</f>
        <v/>
      </c>
      <c r="U72" t="str">
        <f>IF(策划表!P72="","",策划表!P72)</f>
        <v/>
      </c>
      <c r="V72" t="str">
        <f t="shared" si="11"/>
        <v>t_director_option3_1101204</v>
      </c>
      <c r="W72" t="str">
        <f>IF(策划表!Q72="","",策划表!Q72)</f>
        <v/>
      </c>
      <c r="X72" t="str">
        <f>IF(策划表!R72="","",策划表!R72)</f>
        <v/>
      </c>
      <c r="Y72" t="str">
        <f>IF(策划表!S72="","",策划表!S72)</f>
        <v/>
      </c>
    </row>
    <row r="73" spans="1:25" x14ac:dyDescent="0.15">
      <c r="A73">
        <f>策划表!A73</f>
        <v>1101205</v>
      </c>
      <c r="B73" t="str">
        <f>IF(策划表!B73="","",策划表!B73)</f>
        <v>伊迪丝</v>
      </c>
      <c r="C73" t="str">
        <f t="shared" si="6"/>
        <v>t_director_title_1101205</v>
      </c>
      <c r="D73" t="str">
        <f>IF(策划表!C73="","",策划表!C73)</f>
        <v>哥布林先知的宝石是最为重要的道具，你可要好好使用它。</v>
      </c>
      <c r="E73" t="str">
        <f t="shared" si="7"/>
        <v>t_director_dialog_1101205</v>
      </c>
      <c r="F73" t="str">
        <f>IF(策划表!D73="","",策划表!D73)</f>
        <v xml:space="preserve">好的 </v>
      </c>
      <c r="G73" t="str">
        <f t="shared" si="8"/>
        <v>t_director_option0_1101205</v>
      </c>
      <c r="H73" t="str">
        <f>IF(策划表!E73="","",策划表!E73)</f>
        <v/>
      </c>
      <c r="I73">
        <f>IF(策划表!F73="","",策划表!F73)</f>
        <v>1101206</v>
      </c>
      <c r="J73" t="str">
        <f>IF(策划表!G73="","",策划表!G73)</f>
        <v/>
      </c>
      <c r="K73" t="str">
        <f>IF(策划表!H73="","",策划表!H73)</f>
        <v/>
      </c>
      <c r="L73" t="str">
        <f t="shared" si="9"/>
        <v>t_director_option1_1101205</v>
      </c>
      <c r="M73" t="str">
        <f>IF(策划表!I73="","",策划表!I73)</f>
        <v/>
      </c>
      <c r="N73" t="str">
        <f>IF(策划表!J73="","",策划表!J73)</f>
        <v/>
      </c>
      <c r="O73" t="str">
        <f>IF(策划表!K73="","",策划表!K73)</f>
        <v/>
      </c>
      <c r="P73" t="str">
        <f>IF(策划表!L73="","",策划表!L73)</f>
        <v/>
      </c>
      <c r="Q73" t="str">
        <f t="shared" si="10"/>
        <v>t_director_option2_1101205</v>
      </c>
      <c r="R73" t="str">
        <f>IF(策划表!M73="","",策划表!M73)</f>
        <v/>
      </c>
      <c r="S73" t="str">
        <f>IF(策划表!N73="","",策划表!N73)</f>
        <v/>
      </c>
      <c r="T73" t="str">
        <f>IF(策划表!O73="","",策划表!O73)</f>
        <v/>
      </c>
      <c r="U73" t="str">
        <f>IF(策划表!P73="","",策划表!P73)</f>
        <v/>
      </c>
      <c r="V73" t="str">
        <f t="shared" si="11"/>
        <v>t_director_option3_1101205</v>
      </c>
      <c r="W73" t="str">
        <f>IF(策划表!Q73="","",策划表!Q73)</f>
        <v/>
      </c>
      <c r="X73" t="str">
        <f>IF(策划表!R73="","",策划表!R73)</f>
        <v/>
      </c>
      <c r="Y73" t="str">
        <f>IF(策划表!S73="","",策划表!S73)</f>
        <v/>
      </c>
    </row>
    <row r="74" spans="1:25" x14ac:dyDescent="0.15">
      <c r="A74">
        <f>策划表!A74</f>
        <v>1101206</v>
      </c>
      <c r="B74" t="str">
        <f>IF(策划表!B74="","",策划表!B74)</f>
        <v>伊迪丝</v>
      </c>
      <c r="C74" t="str">
        <f t="shared" si="6"/>
        <v>t_director_title_1101206</v>
      </c>
      <c r="D74" t="str">
        <f>IF(策划表!C74="","",策划表!C74)</f>
        <v>正好接下来，我要去勇者之森调查最近魔物增多的原因。你与我一起去吧，我在勇者之森的等你。</v>
      </c>
      <c r="E74" t="str">
        <f t="shared" si="7"/>
        <v>t_director_dialog_1101206</v>
      </c>
      <c r="F74" t="str">
        <f>IF(策划表!D74="","",策划表!D74)</f>
        <v>好的</v>
      </c>
      <c r="G74" t="str">
        <f t="shared" si="8"/>
        <v>t_director_option0_1101206</v>
      </c>
      <c r="H74">
        <f>IF(策划表!E74="","",策划表!E74)</f>
        <v>1</v>
      </c>
      <c r="I74" t="str">
        <f>IF(策划表!F74="","",策划表!F74)</f>
        <v/>
      </c>
      <c r="J74" t="str">
        <f>IF(策划表!G74="","",策划表!G74)</f>
        <v/>
      </c>
      <c r="K74" t="str">
        <f>IF(策划表!H74="","",策划表!H74)</f>
        <v/>
      </c>
      <c r="L74" t="str">
        <f t="shared" si="9"/>
        <v>t_director_option1_1101206</v>
      </c>
      <c r="M74" t="str">
        <f>IF(策划表!I74="","",策划表!I74)</f>
        <v/>
      </c>
      <c r="N74" t="str">
        <f>IF(策划表!J74="","",策划表!J74)</f>
        <v/>
      </c>
      <c r="O74" t="str">
        <f>IF(策划表!K74="","",策划表!K74)</f>
        <v/>
      </c>
      <c r="P74" t="str">
        <f>IF(策划表!L74="","",策划表!L74)</f>
        <v/>
      </c>
      <c r="Q74" t="str">
        <f t="shared" si="10"/>
        <v>t_director_option2_1101206</v>
      </c>
      <c r="R74" t="str">
        <f>IF(策划表!M74="","",策划表!M74)</f>
        <v/>
      </c>
      <c r="S74" t="str">
        <f>IF(策划表!N74="","",策划表!N74)</f>
        <v/>
      </c>
      <c r="T74" t="str">
        <f>IF(策划表!O74="","",策划表!O74)</f>
        <v/>
      </c>
      <c r="U74" t="str">
        <f>IF(策划表!P74="","",策划表!P74)</f>
        <v/>
      </c>
      <c r="V74" t="str">
        <f t="shared" si="11"/>
        <v>t_director_option3_1101206</v>
      </c>
      <c r="W74" t="str">
        <f>IF(策划表!Q74="","",策划表!Q74)</f>
        <v/>
      </c>
      <c r="X74" t="str">
        <f>IF(策划表!R74="","",策划表!R74)</f>
        <v/>
      </c>
      <c r="Y74" t="str">
        <f>IF(策划表!S74="","",策划表!S74)</f>
        <v/>
      </c>
    </row>
    <row r="75" spans="1:25" x14ac:dyDescent="0.15">
      <c r="A75">
        <f>策划表!A75</f>
        <v>1101400</v>
      </c>
      <c r="B75" t="str">
        <f>IF(策划表!B75="","",策划表!B75)</f>
        <v>帕莎</v>
      </c>
      <c r="C75" t="str">
        <f t="shared" si="6"/>
        <v>t_director_title_1101400</v>
      </c>
      <c r="D75" t="str">
        <f>IF(策划表!C75="","",策划表!C75)</f>
        <v>你好，冒险者，又见面了。</v>
      </c>
      <c r="E75" t="str">
        <f t="shared" si="7"/>
        <v>t_director_dialog_1101400</v>
      </c>
      <c r="F75" t="str">
        <f>IF(策划表!D75="","",策划表!D75)</f>
        <v>你还需要什么帮助吗</v>
      </c>
      <c r="G75" t="str">
        <f t="shared" si="8"/>
        <v>t_director_option0_1101400</v>
      </c>
      <c r="H75" t="str">
        <f>IF(策划表!E75="","",策划表!E75)</f>
        <v/>
      </c>
      <c r="I75">
        <f>IF(策划表!F75="","",策划表!F75)</f>
        <v>1101401</v>
      </c>
      <c r="J75" t="str">
        <f>IF(策划表!G75="","",策划表!G75)</f>
        <v/>
      </c>
      <c r="K75" t="str">
        <f>IF(策划表!H75="","",策划表!H75)</f>
        <v/>
      </c>
      <c r="L75" t="str">
        <f t="shared" si="9"/>
        <v>t_director_option1_1101400</v>
      </c>
      <c r="M75" t="str">
        <f>IF(策划表!I75="","",策划表!I75)</f>
        <v/>
      </c>
      <c r="N75" t="str">
        <f>IF(策划表!J75="","",策划表!J75)</f>
        <v/>
      </c>
      <c r="O75" t="str">
        <f>IF(策划表!K75="","",策划表!K75)</f>
        <v/>
      </c>
      <c r="P75" t="str">
        <f>IF(策划表!L75="","",策划表!L75)</f>
        <v/>
      </c>
      <c r="Q75" t="str">
        <f t="shared" si="10"/>
        <v>t_director_option2_1101400</v>
      </c>
      <c r="R75" t="str">
        <f>IF(策划表!M75="","",策划表!M75)</f>
        <v/>
      </c>
      <c r="S75" t="str">
        <f>IF(策划表!N75="","",策划表!N75)</f>
        <v/>
      </c>
      <c r="T75" t="str">
        <f>IF(策划表!O75="","",策划表!O75)</f>
        <v/>
      </c>
      <c r="U75" t="str">
        <f>IF(策划表!P75="","",策划表!P75)</f>
        <v/>
      </c>
      <c r="V75" t="str">
        <f t="shared" si="11"/>
        <v>t_director_option3_1101400</v>
      </c>
      <c r="W75" t="str">
        <f>IF(策划表!Q75="","",策划表!Q75)</f>
        <v/>
      </c>
      <c r="X75" t="str">
        <f>IF(策划表!R75="","",策划表!R75)</f>
        <v/>
      </c>
      <c r="Y75" t="str">
        <f>IF(策划表!S75="","",策划表!S75)</f>
        <v/>
      </c>
    </row>
    <row r="76" spans="1:25" x14ac:dyDescent="0.15">
      <c r="A76">
        <f>策划表!A76</f>
        <v>1101401</v>
      </c>
      <c r="B76" t="str">
        <f>IF(策划表!B76="","",策划表!B76)</f>
        <v>帕莎</v>
      </c>
      <c r="C76" t="str">
        <f t="shared" si="6"/>
        <v>t_director_title_1101401</v>
      </c>
      <c r="D76" t="str">
        <f>IF(策划表!C76="","",策划表!C76)</f>
        <v>我需要一块熊皮，你能帮我猎取吗？</v>
      </c>
      <c r="E76" t="str">
        <f t="shared" si="7"/>
        <v>t_director_dialog_1101401</v>
      </c>
      <c r="F76" t="str">
        <f>IF(策划表!D76="","",策划表!D76)</f>
        <v>我去猎取。</v>
      </c>
      <c r="G76" t="str">
        <f t="shared" si="8"/>
        <v>t_director_option0_1101401</v>
      </c>
      <c r="H76">
        <f>IF(策划表!E76="","",策划表!E76)</f>
        <v>1</v>
      </c>
      <c r="I76" t="str">
        <f>IF(策划表!F76="","",策划表!F76)</f>
        <v/>
      </c>
      <c r="J76" t="str">
        <f>IF(策划表!G76="","",策划表!G76)</f>
        <v/>
      </c>
      <c r="K76" t="str">
        <f>IF(策划表!H76="","",策划表!H76)</f>
        <v>我还没有</v>
      </c>
      <c r="L76" t="str">
        <f t="shared" si="9"/>
        <v>t_director_option1_1101401</v>
      </c>
      <c r="M76">
        <f>IF(策划表!I76="","",策划表!I76)</f>
        <v>2</v>
      </c>
      <c r="N76" t="str">
        <f>IF(策划表!J76="","",策划表!J76)</f>
        <v/>
      </c>
      <c r="O76" t="str">
        <f>IF(策划表!K76="","",策划表!K76)</f>
        <v/>
      </c>
      <c r="P76" t="str">
        <f>IF(策划表!L76="","",策划表!L76)</f>
        <v/>
      </c>
      <c r="Q76" t="str">
        <f t="shared" si="10"/>
        <v>t_director_option2_1101401</v>
      </c>
      <c r="R76" t="str">
        <f>IF(策划表!M76="","",策划表!M76)</f>
        <v/>
      </c>
      <c r="S76" t="str">
        <f>IF(策划表!N76="","",策划表!N76)</f>
        <v/>
      </c>
      <c r="T76" t="str">
        <f>IF(策划表!O76="","",策划表!O76)</f>
        <v/>
      </c>
      <c r="U76" t="str">
        <f>IF(策划表!P76="","",策划表!P76)</f>
        <v/>
      </c>
      <c r="V76" t="str">
        <f t="shared" si="11"/>
        <v>t_director_option3_1101401</v>
      </c>
      <c r="W76" t="str">
        <f>IF(策划表!Q76="","",策划表!Q76)</f>
        <v/>
      </c>
      <c r="X76" t="str">
        <f>IF(策划表!R76="","",策划表!R76)</f>
        <v/>
      </c>
      <c r="Y76" t="str">
        <f>IF(策划表!S76="","",策划表!S76)</f>
        <v/>
      </c>
    </row>
    <row r="77" spans="1:25" x14ac:dyDescent="0.15">
      <c r="A77">
        <f>策划表!A77</f>
        <v>1101450</v>
      </c>
      <c r="B77" t="str">
        <f>IF(策划表!B77="","",策划表!B77)</f>
        <v>帕莎</v>
      </c>
      <c r="C77" t="str">
        <f t="shared" si="6"/>
        <v>t_director_title_1101450</v>
      </c>
      <c r="D77" t="str">
        <f>IF(策划表!C77="","",策划表!C77)</f>
        <v>你这是有熊皮了么？</v>
      </c>
      <c r="E77" t="str">
        <f t="shared" si="7"/>
        <v>t_director_dialog_1101450</v>
      </c>
      <c r="F77" t="str">
        <f>IF(策划表!D77="","",策划表!D77)</f>
        <v>交纳熊皮</v>
      </c>
      <c r="G77" t="str">
        <f t="shared" si="8"/>
        <v>t_director_option0_1101450</v>
      </c>
      <c r="H77">
        <f>IF(策划表!E77="","",策划表!E77)</f>
        <v>1</v>
      </c>
      <c r="I77">
        <f>IF(策划表!F77="","",策划表!F77)</f>
        <v>1101451</v>
      </c>
      <c r="J77" t="str">
        <f>IF(策划表!G77="","",策划表!G77)</f>
        <v/>
      </c>
      <c r="K77" t="str">
        <f>IF(策划表!H77="","",策划表!H77)</f>
        <v/>
      </c>
      <c r="L77" t="str">
        <f t="shared" si="9"/>
        <v>t_director_option1_1101450</v>
      </c>
      <c r="M77" t="str">
        <f>IF(策划表!I77="","",策划表!I77)</f>
        <v/>
      </c>
      <c r="N77" t="str">
        <f>IF(策划表!J77="","",策划表!J77)</f>
        <v/>
      </c>
      <c r="O77" t="str">
        <f>IF(策划表!K77="","",策划表!K77)</f>
        <v/>
      </c>
      <c r="P77" t="str">
        <f>IF(策划表!L77="","",策划表!L77)</f>
        <v/>
      </c>
      <c r="Q77" t="str">
        <f t="shared" si="10"/>
        <v>t_director_option2_1101450</v>
      </c>
      <c r="R77" t="str">
        <f>IF(策划表!M77="","",策划表!M77)</f>
        <v/>
      </c>
      <c r="S77" t="str">
        <f>IF(策划表!N77="","",策划表!N77)</f>
        <v/>
      </c>
      <c r="T77" t="str">
        <f>IF(策划表!O77="","",策划表!O77)</f>
        <v/>
      </c>
      <c r="U77" t="str">
        <f>IF(策划表!P77="","",策划表!P77)</f>
        <v/>
      </c>
      <c r="V77" t="str">
        <f t="shared" si="11"/>
        <v>t_director_option3_1101450</v>
      </c>
      <c r="W77" t="str">
        <f>IF(策划表!Q77="","",策划表!Q77)</f>
        <v/>
      </c>
      <c r="X77" t="str">
        <f>IF(策划表!R77="","",策划表!R77)</f>
        <v/>
      </c>
      <c r="Y77" t="str">
        <f>IF(策划表!S77="","",策划表!S77)</f>
        <v/>
      </c>
    </row>
    <row r="78" spans="1:25" x14ac:dyDescent="0.15">
      <c r="A78">
        <f>策划表!A78</f>
        <v>1101451</v>
      </c>
      <c r="B78" t="str">
        <f>IF(策划表!B78="","",策划表!B78)</f>
        <v>帕莎</v>
      </c>
      <c r="C78" t="str">
        <f t="shared" si="6"/>
        <v>t_director_title_1101451</v>
      </c>
      <c r="D78" t="str">
        <f>IF(策划表!C78="","",策划表!C78)</f>
        <v>谢谢你，冒险者，我是城中商人罗斯的未婚妻，他送我的耳环丢在了海边，可能被螃蟹捡走了，你能帮我讨伐螃蟹夺回耳环吗？</v>
      </c>
      <c r="E78" t="str">
        <f t="shared" si="7"/>
        <v>t_director_dialog_1101451</v>
      </c>
      <c r="F78" t="str">
        <f>IF(策划表!D78="","",策划表!D78)</f>
        <v>好的</v>
      </c>
      <c r="G78" t="str">
        <f t="shared" si="8"/>
        <v>t_director_option0_1101451</v>
      </c>
      <c r="H78">
        <f>IF(策划表!E78="","",策划表!E78)</f>
        <v>1</v>
      </c>
      <c r="I78" t="str">
        <f>IF(策划表!F78="","",策划表!F78)</f>
        <v/>
      </c>
      <c r="J78" t="str">
        <f>IF(策划表!G78="","",策划表!G78)</f>
        <v/>
      </c>
      <c r="K78" t="str">
        <f>IF(策划表!H78="","",策划表!H78)</f>
        <v/>
      </c>
      <c r="L78" t="str">
        <f t="shared" si="9"/>
        <v>t_director_option1_1101451</v>
      </c>
      <c r="M78" t="str">
        <f>IF(策划表!I78="","",策划表!I78)</f>
        <v/>
      </c>
      <c r="N78" t="str">
        <f>IF(策划表!J78="","",策划表!J78)</f>
        <v/>
      </c>
      <c r="O78" t="str">
        <f>IF(策划表!K78="","",策划表!K78)</f>
        <v/>
      </c>
      <c r="P78" t="str">
        <f>IF(策划表!L78="","",策划表!L78)</f>
        <v/>
      </c>
      <c r="Q78" t="str">
        <f t="shared" si="10"/>
        <v>t_director_option2_1101451</v>
      </c>
      <c r="R78" t="str">
        <f>IF(策划表!M78="","",策划表!M78)</f>
        <v/>
      </c>
      <c r="S78" t="str">
        <f>IF(策划表!N78="","",策划表!N78)</f>
        <v/>
      </c>
      <c r="T78" t="str">
        <f>IF(策划表!O78="","",策划表!O78)</f>
        <v/>
      </c>
      <c r="U78" t="str">
        <f>IF(策划表!P78="","",策划表!P78)</f>
        <v/>
      </c>
      <c r="V78" t="str">
        <f t="shared" si="11"/>
        <v>t_director_option3_1101451</v>
      </c>
      <c r="W78" t="str">
        <f>IF(策划表!Q78="","",策划表!Q78)</f>
        <v/>
      </c>
      <c r="X78" t="str">
        <f>IF(策划表!R78="","",策划表!R78)</f>
        <v/>
      </c>
      <c r="Y78" t="str">
        <f>IF(策划表!S78="","",策划表!S78)</f>
        <v/>
      </c>
    </row>
    <row r="79" spans="1:25" x14ac:dyDescent="0.15">
      <c r="A79">
        <f>策划表!A79</f>
        <v>1101500</v>
      </c>
      <c r="B79" t="str">
        <f>IF(策划表!B79="","",策划表!B79)</f>
        <v>帕莎</v>
      </c>
      <c r="C79" t="str">
        <f t="shared" si="6"/>
        <v>t_director_title_1101500</v>
      </c>
      <c r="D79" t="str">
        <f>IF(策划表!C79="","",策划表!C79)</f>
        <v>冒险者，怎么样了？</v>
      </c>
      <c r="E79" t="str">
        <f t="shared" si="7"/>
        <v>t_director_dialog_1101500</v>
      </c>
      <c r="F79" t="str">
        <f>IF(策划表!D79="","",策划表!D79)</f>
        <v>交纳耳环</v>
      </c>
      <c r="G79" t="str">
        <f t="shared" si="8"/>
        <v>t_director_option0_1101500</v>
      </c>
      <c r="H79" t="str">
        <f>IF(策划表!E79="","",策划表!E79)</f>
        <v/>
      </c>
      <c r="I79">
        <f>IF(策划表!F79="","",策划表!F79)</f>
        <v>1101501</v>
      </c>
      <c r="J79" t="str">
        <f>IF(策划表!G79="","",策划表!G79)</f>
        <v/>
      </c>
      <c r="K79" t="str">
        <f>IF(策划表!H79="","",策划表!H79)</f>
        <v>我再去寻找</v>
      </c>
      <c r="L79" t="str">
        <f t="shared" si="9"/>
        <v>t_director_option1_1101500</v>
      </c>
      <c r="M79">
        <f>IF(策划表!I79="","",策划表!I79)</f>
        <v>2</v>
      </c>
      <c r="N79" t="str">
        <f>IF(策划表!J79="","",策划表!J79)</f>
        <v/>
      </c>
      <c r="O79" t="str">
        <f>IF(策划表!K79="","",策划表!K79)</f>
        <v/>
      </c>
      <c r="P79" t="str">
        <f>IF(策划表!L79="","",策划表!L79)</f>
        <v/>
      </c>
      <c r="Q79" t="str">
        <f t="shared" si="10"/>
        <v>t_director_option2_1101500</v>
      </c>
      <c r="R79" t="str">
        <f>IF(策划表!M79="","",策划表!M79)</f>
        <v/>
      </c>
      <c r="S79" t="str">
        <f>IF(策划表!N79="","",策划表!N79)</f>
        <v/>
      </c>
      <c r="T79" t="str">
        <f>IF(策划表!O79="","",策划表!O79)</f>
        <v/>
      </c>
      <c r="U79" t="str">
        <f>IF(策划表!P79="","",策划表!P79)</f>
        <v/>
      </c>
      <c r="V79" t="str">
        <f t="shared" si="11"/>
        <v>t_director_option3_1101500</v>
      </c>
      <c r="W79" t="str">
        <f>IF(策划表!Q79="","",策划表!Q79)</f>
        <v/>
      </c>
      <c r="X79" t="str">
        <f>IF(策划表!R79="","",策划表!R79)</f>
        <v/>
      </c>
      <c r="Y79" t="str">
        <f>IF(策划表!S79="","",策划表!S79)</f>
        <v/>
      </c>
    </row>
    <row r="80" spans="1:25" x14ac:dyDescent="0.15">
      <c r="A80">
        <f>策划表!A80</f>
        <v>1101501</v>
      </c>
      <c r="B80" t="str">
        <f>IF(策划表!B80="","",策划表!B80)</f>
        <v>帕莎</v>
      </c>
      <c r="C80" t="str">
        <f t="shared" si="6"/>
        <v>t_director_title_1101501</v>
      </c>
      <c r="D80" t="str">
        <f>IF(策划表!C80="","",策划表!C80)</f>
        <v>谢谢你冒险者，这是是罗斯送我的第一件礼物。</v>
      </c>
      <c r="E80" t="str">
        <f t="shared" si="7"/>
        <v>t_director_dialog_1101501</v>
      </c>
      <c r="F80" t="str">
        <f>IF(策划表!D80="","",策划表!D80)</f>
        <v>…</v>
      </c>
      <c r="G80" t="str">
        <f t="shared" si="8"/>
        <v>t_director_option0_1101501</v>
      </c>
      <c r="H80" t="str">
        <f>IF(策划表!E80="","",策划表!E80)</f>
        <v/>
      </c>
      <c r="I80">
        <f>IF(策划表!F80="","",策划表!F80)</f>
        <v>1101502</v>
      </c>
      <c r="J80" t="str">
        <f>IF(策划表!G80="","",策划表!G80)</f>
        <v/>
      </c>
      <c r="K80" t="str">
        <f>IF(策划表!H80="","",策划表!H80)</f>
        <v/>
      </c>
      <c r="L80" t="str">
        <f t="shared" si="9"/>
        <v>t_director_option1_1101501</v>
      </c>
      <c r="M80" t="str">
        <f>IF(策划表!I80="","",策划表!I80)</f>
        <v/>
      </c>
      <c r="N80" t="str">
        <f>IF(策划表!J80="","",策划表!J80)</f>
        <v/>
      </c>
      <c r="O80" t="str">
        <f>IF(策划表!K80="","",策划表!K80)</f>
        <v/>
      </c>
      <c r="P80" t="str">
        <f>IF(策划表!L80="","",策划表!L80)</f>
        <v/>
      </c>
      <c r="Q80" t="str">
        <f t="shared" si="10"/>
        <v>t_director_option2_1101501</v>
      </c>
      <c r="R80" t="str">
        <f>IF(策划表!M80="","",策划表!M80)</f>
        <v/>
      </c>
      <c r="S80" t="str">
        <f>IF(策划表!N80="","",策划表!N80)</f>
        <v/>
      </c>
      <c r="T80" t="str">
        <f>IF(策划表!O80="","",策划表!O80)</f>
        <v/>
      </c>
      <c r="U80" t="str">
        <f>IF(策划表!P80="","",策划表!P80)</f>
        <v/>
      </c>
      <c r="V80" t="str">
        <f t="shared" si="11"/>
        <v>t_director_option3_1101501</v>
      </c>
      <c r="W80" t="str">
        <f>IF(策划表!Q80="","",策划表!Q80)</f>
        <v/>
      </c>
      <c r="X80" t="str">
        <f>IF(策划表!R80="","",策划表!R80)</f>
        <v/>
      </c>
      <c r="Y80" t="str">
        <f>IF(策划表!S80="","",策划表!S80)</f>
        <v/>
      </c>
    </row>
    <row r="81" spans="1:25" x14ac:dyDescent="0.15">
      <c r="A81">
        <f>策划表!A81</f>
        <v>1101502</v>
      </c>
      <c r="B81" t="str">
        <f>IF(策划表!B81="","",策划表!B81)</f>
        <v>帕莎</v>
      </c>
      <c r="C81" t="str">
        <f t="shared" si="6"/>
        <v>t_director_title_1101502</v>
      </c>
      <c r="D81" t="str">
        <f>IF(策划表!C81="","",策划表!C81)</f>
        <v>冒险者，你能猎取一些螃蟹，把他的肉给我吗？我准备把这帮吃我耳环的怪物炖了。</v>
      </c>
      <c r="E81" t="str">
        <f t="shared" si="7"/>
        <v>t_director_dialog_1101502</v>
      </c>
      <c r="F81" t="str">
        <f>IF(策划表!D81="","",策划表!D81)</f>
        <v>好的</v>
      </c>
      <c r="G81" t="str">
        <f t="shared" si="8"/>
        <v>t_director_option0_1101502</v>
      </c>
      <c r="H81">
        <f>IF(策划表!E81="","",策划表!E81)</f>
        <v>1</v>
      </c>
      <c r="I81" t="str">
        <f>IF(策划表!F81="","",策划表!F81)</f>
        <v/>
      </c>
      <c r="J81" t="str">
        <f>IF(策划表!G81="","",策划表!G81)</f>
        <v/>
      </c>
      <c r="K81" t="str">
        <f>IF(策划表!H81="","",策划表!H81)</f>
        <v/>
      </c>
      <c r="L81" t="str">
        <f t="shared" si="9"/>
        <v>t_director_option1_1101502</v>
      </c>
      <c r="M81" t="str">
        <f>IF(策划表!I81="","",策划表!I81)</f>
        <v/>
      </c>
      <c r="N81" t="str">
        <f>IF(策划表!J81="","",策划表!J81)</f>
        <v/>
      </c>
      <c r="O81" t="str">
        <f>IF(策划表!K81="","",策划表!K81)</f>
        <v/>
      </c>
      <c r="P81" t="str">
        <f>IF(策划表!L81="","",策划表!L81)</f>
        <v/>
      </c>
      <c r="Q81" t="str">
        <f t="shared" si="10"/>
        <v>t_director_option2_1101502</v>
      </c>
      <c r="R81" t="str">
        <f>IF(策划表!M81="","",策划表!M81)</f>
        <v/>
      </c>
      <c r="S81" t="str">
        <f>IF(策划表!N81="","",策划表!N81)</f>
        <v/>
      </c>
      <c r="T81" t="str">
        <f>IF(策划表!O81="","",策划表!O81)</f>
        <v/>
      </c>
      <c r="U81" t="str">
        <f>IF(策划表!P81="","",策划表!P81)</f>
        <v/>
      </c>
      <c r="V81" t="str">
        <f t="shared" si="11"/>
        <v>t_director_option3_1101502</v>
      </c>
      <c r="W81" t="str">
        <f>IF(策划表!Q81="","",策划表!Q81)</f>
        <v/>
      </c>
      <c r="X81" t="str">
        <f>IF(策划表!R81="","",策划表!R81)</f>
        <v/>
      </c>
      <c r="Y81" t="str">
        <f>IF(策划表!S81="","",策划表!S81)</f>
        <v/>
      </c>
    </row>
    <row r="82" spans="1:25" x14ac:dyDescent="0.15">
      <c r="A82">
        <f>策划表!A82</f>
        <v>1101600</v>
      </c>
      <c r="B82" t="str">
        <f>IF(策划表!B82="","",策划表!B82)</f>
        <v>帕莎</v>
      </c>
      <c r="C82" t="str">
        <f t="shared" si="6"/>
        <v>t_director_title_1101600</v>
      </c>
      <c r="D82" t="str">
        <f>IF(策划表!C82="","",策划表!C82)</f>
        <v>冒险者你帮我狩猎到蟹肉了吗？</v>
      </c>
      <c r="E82" t="str">
        <f t="shared" si="7"/>
        <v>t_director_dialog_1101600</v>
      </c>
      <c r="F82" t="str">
        <f>IF(策划表!D82="","",策划表!D82)</f>
        <v>交纳蟹肉</v>
      </c>
      <c r="G82" t="str">
        <f t="shared" si="8"/>
        <v>t_director_option0_1101600</v>
      </c>
      <c r="H82" t="str">
        <f>IF(策划表!E82="","",策划表!E82)</f>
        <v/>
      </c>
      <c r="I82">
        <f>IF(策划表!F82="","",策划表!F82)</f>
        <v>1101601</v>
      </c>
      <c r="J82" t="str">
        <f>IF(策划表!G82="","",策划表!G82)</f>
        <v/>
      </c>
      <c r="K82" t="str">
        <f>IF(策划表!H82="","",策划表!H82)</f>
        <v>我再去寻找</v>
      </c>
      <c r="L82" t="str">
        <f t="shared" si="9"/>
        <v>t_director_option1_1101600</v>
      </c>
      <c r="M82">
        <f>IF(策划表!I82="","",策划表!I82)</f>
        <v>2</v>
      </c>
      <c r="N82" t="str">
        <f>IF(策划表!J82="","",策划表!J82)</f>
        <v/>
      </c>
      <c r="O82" t="str">
        <f>IF(策划表!K82="","",策划表!K82)</f>
        <v/>
      </c>
      <c r="P82" t="str">
        <f>IF(策划表!L82="","",策划表!L82)</f>
        <v/>
      </c>
      <c r="Q82" t="str">
        <f t="shared" si="10"/>
        <v>t_director_option2_1101600</v>
      </c>
      <c r="R82" t="str">
        <f>IF(策划表!M82="","",策划表!M82)</f>
        <v/>
      </c>
      <c r="S82" t="str">
        <f>IF(策划表!N82="","",策划表!N82)</f>
        <v/>
      </c>
      <c r="T82" t="str">
        <f>IF(策划表!O82="","",策划表!O82)</f>
        <v/>
      </c>
      <c r="U82" t="str">
        <f>IF(策划表!P82="","",策划表!P82)</f>
        <v/>
      </c>
      <c r="V82" t="str">
        <f t="shared" si="11"/>
        <v>t_director_option3_1101600</v>
      </c>
      <c r="W82" t="str">
        <f>IF(策划表!Q82="","",策划表!Q82)</f>
        <v/>
      </c>
      <c r="X82" t="str">
        <f>IF(策划表!R82="","",策划表!R82)</f>
        <v/>
      </c>
      <c r="Y82" t="str">
        <f>IF(策划表!S82="","",策划表!S82)</f>
        <v/>
      </c>
    </row>
    <row r="83" spans="1:25" x14ac:dyDescent="0.15">
      <c r="A83">
        <f>策划表!A83</f>
        <v>1101601</v>
      </c>
      <c r="B83" t="str">
        <f>IF(策划表!B83="","",策划表!B83)</f>
        <v>帕莎</v>
      </c>
      <c r="C83" t="str">
        <f t="shared" si="6"/>
        <v>t_director_title_1101601</v>
      </c>
      <c r="D83" t="str">
        <f>IF(策划表!C83="","",策划表!C83)</f>
        <v>感谢你冒险者，这样我就可以回去了。再见了，冒险者</v>
      </c>
      <c r="E83" t="str">
        <f t="shared" si="7"/>
        <v>t_director_dialog_1101601</v>
      </c>
      <c r="F83" t="str">
        <f>IF(策划表!D83="","",策划表!D83)</f>
        <v>…</v>
      </c>
      <c r="G83" t="str">
        <f t="shared" si="8"/>
        <v>t_director_option0_1101601</v>
      </c>
      <c r="H83">
        <f>IF(策划表!E83="","",策划表!E83)</f>
        <v>1</v>
      </c>
      <c r="I83" t="str">
        <f>IF(策划表!F83="","",策划表!F83)</f>
        <v/>
      </c>
      <c r="J83" t="str">
        <f>IF(策划表!G83="","",策划表!G83)</f>
        <v/>
      </c>
      <c r="K83" t="str">
        <f>IF(策划表!H83="","",策划表!H83)</f>
        <v/>
      </c>
      <c r="L83" t="str">
        <f t="shared" si="9"/>
        <v>t_director_option1_1101601</v>
      </c>
      <c r="M83" t="str">
        <f>IF(策划表!I83="","",策划表!I83)</f>
        <v/>
      </c>
      <c r="N83" t="str">
        <f>IF(策划表!J83="","",策划表!J83)</f>
        <v/>
      </c>
      <c r="O83" t="str">
        <f>IF(策划表!K83="","",策划表!K83)</f>
        <v/>
      </c>
      <c r="P83" t="str">
        <f>IF(策划表!L83="","",策划表!L83)</f>
        <v/>
      </c>
      <c r="Q83" t="str">
        <f t="shared" si="10"/>
        <v>t_director_option2_1101601</v>
      </c>
      <c r="R83" t="str">
        <f>IF(策划表!M83="","",策划表!M83)</f>
        <v/>
      </c>
      <c r="S83" t="str">
        <f>IF(策划表!N83="","",策划表!N83)</f>
        <v/>
      </c>
      <c r="T83" t="str">
        <f>IF(策划表!O83="","",策划表!O83)</f>
        <v/>
      </c>
      <c r="U83" t="str">
        <f>IF(策划表!P83="","",策划表!P83)</f>
        <v/>
      </c>
      <c r="V83" t="str">
        <f t="shared" si="11"/>
        <v>t_director_option3_1101601</v>
      </c>
      <c r="W83" t="str">
        <f>IF(策划表!Q83="","",策划表!Q83)</f>
        <v/>
      </c>
      <c r="X83" t="str">
        <f>IF(策划表!R83="","",策划表!R83)</f>
        <v/>
      </c>
      <c r="Y83" t="str">
        <f>IF(策划表!S83="","",策划表!S83)</f>
        <v/>
      </c>
    </row>
    <row r="84" spans="1:25" x14ac:dyDescent="0.15">
      <c r="A84">
        <f>策划表!A84</f>
        <v>1101700</v>
      </c>
      <c r="B84" t="str">
        <f>IF(策划表!B84="","",策划表!B84)</f>
        <v>卡玛</v>
      </c>
      <c r="C84" t="str">
        <f t="shared" si="6"/>
        <v>t_director_title_1101700</v>
      </c>
      <c r="D84" t="str">
        <f>IF(策划表!C84="","",策划表!C84)</f>
        <v>又见面了，冒险者。</v>
      </c>
      <c r="E84" t="str">
        <f t="shared" si="7"/>
        <v>t_director_dialog_1101700</v>
      </c>
      <c r="F84" t="str">
        <f>IF(策划表!D84="","",策划表!D84)</f>
        <v>卡玛小姐，需要帮助吗？</v>
      </c>
      <c r="G84" t="str">
        <f t="shared" si="8"/>
        <v>t_director_option0_1101700</v>
      </c>
      <c r="H84" t="str">
        <f>IF(策划表!E84="","",策划表!E84)</f>
        <v/>
      </c>
      <c r="I84">
        <f>IF(策划表!F84="","",策划表!F84)</f>
        <v>1101701</v>
      </c>
      <c r="J84" t="str">
        <f>IF(策划表!G84="","",策划表!G84)</f>
        <v/>
      </c>
      <c r="K84" t="str">
        <f>IF(策划表!H84="","",策划表!H84)</f>
        <v/>
      </c>
      <c r="L84" t="str">
        <f t="shared" si="9"/>
        <v>t_director_option1_1101700</v>
      </c>
      <c r="M84" t="str">
        <f>IF(策划表!I84="","",策划表!I84)</f>
        <v/>
      </c>
      <c r="N84" t="str">
        <f>IF(策划表!J84="","",策划表!J84)</f>
        <v/>
      </c>
      <c r="O84" t="str">
        <f>IF(策划表!K84="","",策划表!K84)</f>
        <v/>
      </c>
      <c r="P84" t="str">
        <f>IF(策划表!L84="","",策划表!L84)</f>
        <v/>
      </c>
      <c r="Q84" t="str">
        <f t="shared" si="10"/>
        <v>t_director_option2_1101700</v>
      </c>
      <c r="R84" t="str">
        <f>IF(策划表!M84="","",策划表!M84)</f>
        <v/>
      </c>
      <c r="S84" t="str">
        <f>IF(策划表!N84="","",策划表!N84)</f>
        <v/>
      </c>
      <c r="T84" t="str">
        <f>IF(策划表!O84="","",策划表!O84)</f>
        <v/>
      </c>
      <c r="U84" t="str">
        <f>IF(策划表!P84="","",策划表!P84)</f>
        <v/>
      </c>
      <c r="V84" t="str">
        <f t="shared" si="11"/>
        <v>t_director_option3_1101700</v>
      </c>
      <c r="W84" t="str">
        <f>IF(策划表!Q84="","",策划表!Q84)</f>
        <v/>
      </c>
      <c r="X84" t="str">
        <f>IF(策划表!R84="","",策划表!R84)</f>
        <v/>
      </c>
      <c r="Y84" t="str">
        <f>IF(策划表!S84="","",策划表!S84)</f>
        <v/>
      </c>
    </row>
    <row r="85" spans="1:25" x14ac:dyDescent="0.15">
      <c r="A85">
        <f>策划表!A85</f>
        <v>1101701</v>
      </c>
      <c r="B85" t="str">
        <f>IF(策划表!B85="","",策划表!B85)</f>
        <v>卡玛</v>
      </c>
      <c r="C85" t="str">
        <f t="shared" si="6"/>
        <v>t_director_title_1101701</v>
      </c>
      <c r="D85" t="str">
        <f>IF(策划表!C85="","",策划表!C85)</f>
        <v>现在城外比较危险，神殿不允许外出。大家物资都见底了，如果你有熊皮，我可以给你很丰厚的任务。</v>
      </c>
      <c r="E85" t="str">
        <f t="shared" si="7"/>
        <v>t_director_dialog_1101701</v>
      </c>
      <c r="F85" t="str">
        <f>IF(策划表!D85="","",策划表!D85)</f>
        <v>我去猎取。</v>
      </c>
      <c r="G85" t="str">
        <f t="shared" si="8"/>
        <v>t_director_option0_1101701</v>
      </c>
      <c r="H85" t="str">
        <f>IF(策划表!E85="","",策划表!E85)</f>
        <v/>
      </c>
      <c r="I85">
        <f>IF(策划表!F85="","",策划表!F85)</f>
        <v>1101702</v>
      </c>
      <c r="J85" t="str">
        <f>IF(策划表!G85="","",策划表!G85)</f>
        <v/>
      </c>
      <c r="K85" t="str">
        <f>IF(策划表!H85="","",策划表!H85)</f>
        <v>我去寻找</v>
      </c>
      <c r="L85" t="str">
        <f t="shared" si="9"/>
        <v>t_director_option1_1101701</v>
      </c>
      <c r="M85">
        <f>IF(策划表!I85="","",策划表!I85)</f>
        <v>2</v>
      </c>
      <c r="N85" t="str">
        <f>IF(策划表!J85="","",策划表!J85)</f>
        <v/>
      </c>
      <c r="O85" t="str">
        <f>IF(策划表!K85="","",策划表!K85)</f>
        <v/>
      </c>
      <c r="P85" t="str">
        <f>IF(策划表!L85="","",策划表!L85)</f>
        <v/>
      </c>
      <c r="Q85" t="str">
        <f t="shared" si="10"/>
        <v>t_director_option2_1101701</v>
      </c>
      <c r="R85" t="str">
        <f>IF(策划表!M85="","",策划表!M85)</f>
        <v/>
      </c>
      <c r="S85" t="str">
        <f>IF(策划表!N85="","",策划表!N85)</f>
        <v/>
      </c>
      <c r="T85" t="str">
        <f>IF(策划表!O85="","",策划表!O85)</f>
        <v/>
      </c>
      <c r="U85" t="str">
        <f>IF(策划表!P85="","",策划表!P85)</f>
        <v/>
      </c>
      <c r="V85" t="str">
        <f t="shared" si="11"/>
        <v>t_director_option3_1101701</v>
      </c>
      <c r="W85" t="str">
        <f>IF(策划表!Q85="","",策划表!Q85)</f>
        <v/>
      </c>
      <c r="X85" t="str">
        <f>IF(策划表!R85="","",策划表!R85)</f>
        <v/>
      </c>
      <c r="Y85" t="str">
        <f>IF(策划表!S85="","",策划表!S85)</f>
        <v/>
      </c>
    </row>
    <row r="86" spans="1:25" x14ac:dyDescent="0.15">
      <c r="A86">
        <f>策划表!A86</f>
        <v>1101750</v>
      </c>
      <c r="B86" t="str">
        <f>IF(策划表!B86="","",策划表!B86)</f>
        <v>卡玛</v>
      </c>
      <c r="C86" t="str">
        <f t="shared" si="6"/>
        <v>t_director_title_1101750</v>
      </c>
      <c r="D86" t="str">
        <f>IF(策划表!C86="","",策划表!C86)</f>
        <v>冒险者，你有熊皮了吗？</v>
      </c>
      <c r="E86" t="str">
        <f t="shared" si="7"/>
        <v>t_director_dialog_1101750</v>
      </c>
      <c r="F86" t="str">
        <f>IF(策划表!D86="","",策划表!D86)</f>
        <v>交纳熊皮</v>
      </c>
      <c r="G86" t="str">
        <f t="shared" si="8"/>
        <v>t_director_option0_1101750</v>
      </c>
      <c r="H86">
        <f>IF(策划表!E86="","",策划表!E86)</f>
        <v>1</v>
      </c>
      <c r="I86">
        <f>IF(策划表!F86="","",策划表!F86)</f>
        <v>1101751</v>
      </c>
      <c r="J86" t="str">
        <f>IF(策划表!G86="","",策划表!G86)</f>
        <v/>
      </c>
      <c r="K86" t="str">
        <f>IF(策划表!H86="","",策划表!H86)</f>
        <v/>
      </c>
      <c r="L86" t="str">
        <f t="shared" si="9"/>
        <v>t_director_option1_1101750</v>
      </c>
      <c r="M86" t="str">
        <f>IF(策划表!I86="","",策划表!I86)</f>
        <v/>
      </c>
      <c r="N86" t="str">
        <f>IF(策划表!J86="","",策划表!J86)</f>
        <v/>
      </c>
      <c r="O86" t="str">
        <f>IF(策划表!K86="","",策划表!K86)</f>
        <v/>
      </c>
      <c r="P86" t="str">
        <f>IF(策划表!L86="","",策划表!L86)</f>
        <v/>
      </c>
      <c r="Q86" t="str">
        <f t="shared" si="10"/>
        <v>t_director_option2_1101750</v>
      </c>
      <c r="R86" t="str">
        <f>IF(策划表!M86="","",策划表!M86)</f>
        <v/>
      </c>
      <c r="S86" t="str">
        <f>IF(策划表!N86="","",策划表!N86)</f>
        <v/>
      </c>
      <c r="T86" t="str">
        <f>IF(策划表!O86="","",策划表!O86)</f>
        <v/>
      </c>
      <c r="U86" t="str">
        <f>IF(策划表!P86="","",策划表!P86)</f>
        <v/>
      </c>
      <c r="V86" t="str">
        <f t="shared" si="11"/>
        <v>t_director_option3_1101750</v>
      </c>
      <c r="W86" t="str">
        <f>IF(策划表!Q86="","",策划表!Q86)</f>
        <v/>
      </c>
      <c r="X86" t="str">
        <f>IF(策划表!R86="","",策划表!R86)</f>
        <v/>
      </c>
      <c r="Y86" t="str">
        <f>IF(策划表!S86="","",策划表!S86)</f>
        <v/>
      </c>
    </row>
    <row r="87" spans="1:25" x14ac:dyDescent="0.15">
      <c r="A87">
        <f>策划表!A87</f>
        <v>1101751</v>
      </c>
      <c r="B87" t="str">
        <f>IF(策划表!B87="","",策划表!B87)</f>
        <v>卡玛</v>
      </c>
      <c r="C87" t="str">
        <f t="shared" si="6"/>
        <v>t_director_title_1101751</v>
      </c>
      <c r="D87" t="str">
        <f>IF(策划表!C87="","",策划表!C87)</f>
        <v>城外的渔夫一直游荡，害的镇民都不敢去海边了，你能讨伐掉他们吗？</v>
      </c>
      <c r="E87" t="str">
        <f t="shared" si="7"/>
        <v>t_director_dialog_1101751</v>
      </c>
      <c r="F87" t="str">
        <f>IF(策划表!D87="","",策划表!D87)</f>
        <v>好的</v>
      </c>
      <c r="G87" t="str">
        <f t="shared" si="8"/>
        <v>t_director_option0_1101751</v>
      </c>
      <c r="H87">
        <f>IF(策划表!E87="","",策划表!E87)</f>
        <v>1</v>
      </c>
      <c r="I87" t="str">
        <f>IF(策划表!F87="","",策划表!F87)</f>
        <v/>
      </c>
      <c r="J87" t="str">
        <f>IF(策划表!G87="","",策划表!G87)</f>
        <v/>
      </c>
      <c r="K87" t="str">
        <f>IF(策划表!H87="","",策划表!H87)</f>
        <v/>
      </c>
      <c r="L87" t="str">
        <f t="shared" si="9"/>
        <v>t_director_option1_1101751</v>
      </c>
      <c r="M87" t="str">
        <f>IF(策划表!I87="","",策划表!I87)</f>
        <v/>
      </c>
      <c r="N87" t="str">
        <f>IF(策划表!J87="","",策划表!J87)</f>
        <v/>
      </c>
      <c r="O87" t="str">
        <f>IF(策划表!K87="","",策划表!K87)</f>
        <v/>
      </c>
      <c r="P87" t="str">
        <f>IF(策划表!L87="","",策划表!L87)</f>
        <v/>
      </c>
      <c r="Q87" t="str">
        <f t="shared" si="10"/>
        <v>t_director_option2_1101751</v>
      </c>
      <c r="R87" t="str">
        <f>IF(策划表!M87="","",策划表!M87)</f>
        <v/>
      </c>
      <c r="S87" t="str">
        <f>IF(策划表!N87="","",策划表!N87)</f>
        <v/>
      </c>
      <c r="T87" t="str">
        <f>IF(策划表!O87="","",策划表!O87)</f>
        <v/>
      </c>
      <c r="U87" t="str">
        <f>IF(策划表!P87="","",策划表!P87)</f>
        <v/>
      </c>
      <c r="V87" t="str">
        <f t="shared" si="11"/>
        <v>t_director_option3_1101751</v>
      </c>
      <c r="W87" t="str">
        <f>IF(策划表!Q87="","",策划表!Q87)</f>
        <v/>
      </c>
      <c r="X87" t="str">
        <f>IF(策划表!R87="","",策划表!R87)</f>
        <v/>
      </c>
      <c r="Y87" t="str">
        <f>IF(策划表!S87="","",策划表!S87)</f>
        <v/>
      </c>
    </row>
    <row r="88" spans="1:25" x14ac:dyDescent="0.15">
      <c r="A88">
        <f>策划表!A88</f>
        <v>1101800</v>
      </c>
      <c r="B88" t="str">
        <f>IF(策划表!B88="","",策划表!B88)</f>
        <v>卡玛</v>
      </c>
      <c r="C88" t="str">
        <f t="shared" si="6"/>
        <v>t_director_title_1101800</v>
      </c>
      <c r="D88" t="str">
        <f>IF(策划表!C88="","",策划表!C88)</f>
        <v>冒险者，你讨伐了渔民了么？</v>
      </c>
      <c r="E88" t="str">
        <f t="shared" si="7"/>
        <v>t_director_dialog_1101800</v>
      </c>
      <c r="F88" t="str">
        <f>IF(策划表!D88="","",策划表!D88)</f>
        <v>讨伐了</v>
      </c>
      <c r="G88" t="str">
        <f t="shared" si="8"/>
        <v>t_director_option0_1101800</v>
      </c>
      <c r="H88" t="str">
        <f>IF(策划表!E88="","",策划表!E88)</f>
        <v/>
      </c>
      <c r="I88">
        <f>IF(策划表!F88="","",策划表!F88)</f>
        <v>1101801</v>
      </c>
      <c r="J88" t="str">
        <f>IF(策划表!G88="","",策划表!G88)</f>
        <v/>
      </c>
      <c r="K88" t="str">
        <f>IF(策划表!H88="","",策划表!H88)</f>
        <v>我再去讨伐</v>
      </c>
      <c r="L88" t="str">
        <f t="shared" si="9"/>
        <v>t_director_option1_1101800</v>
      </c>
      <c r="M88">
        <f>IF(策划表!I88="","",策划表!I88)</f>
        <v>2</v>
      </c>
      <c r="N88" t="str">
        <f>IF(策划表!J88="","",策划表!J88)</f>
        <v/>
      </c>
      <c r="O88" t="str">
        <f>IF(策划表!K88="","",策划表!K88)</f>
        <v/>
      </c>
      <c r="P88" t="str">
        <f>IF(策划表!L88="","",策划表!L88)</f>
        <v/>
      </c>
      <c r="Q88" t="str">
        <f t="shared" si="10"/>
        <v>t_director_option2_1101800</v>
      </c>
      <c r="R88" t="str">
        <f>IF(策划表!M88="","",策划表!M88)</f>
        <v/>
      </c>
      <c r="S88" t="str">
        <f>IF(策划表!N88="","",策划表!N88)</f>
        <v/>
      </c>
      <c r="T88" t="str">
        <f>IF(策划表!O88="","",策划表!O88)</f>
        <v/>
      </c>
      <c r="U88" t="str">
        <f>IF(策划表!P88="","",策划表!P88)</f>
        <v/>
      </c>
      <c r="V88" t="str">
        <f t="shared" si="11"/>
        <v>t_director_option3_1101800</v>
      </c>
      <c r="W88" t="str">
        <f>IF(策划表!Q88="","",策划表!Q88)</f>
        <v/>
      </c>
      <c r="X88" t="str">
        <f>IF(策划表!R88="","",策划表!R88)</f>
        <v/>
      </c>
      <c r="Y88" t="str">
        <f>IF(策划表!S88="","",策划表!S88)</f>
        <v/>
      </c>
    </row>
    <row r="89" spans="1:25" x14ac:dyDescent="0.15">
      <c r="A89">
        <f>策划表!A89</f>
        <v>1101801</v>
      </c>
      <c r="B89" t="str">
        <f>IF(策划表!B89="","",策划表!B89)</f>
        <v>卡玛</v>
      </c>
      <c r="C89" t="str">
        <f t="shared" si="6"/>
        <v>t_director_title_1101801</v>
      </c>
      <c r="D89" t="str">
        <f>IF(策划表!C89="","",策划表!C89)</f>
        <v>打好了。你可以再击杀些鹿，带回来一些鹿肉吗？</v>
      </c>
      <c r="E89" t="str">
        <f t="shared" si="7"/>
        <v>t_director_dialog_1101801</v>
      </c>
      <c r="F89" t="str">
        <f>IF(策划表!D89="","",策划表!D89)</f>
        <v>好的</v>
      </c>
      <c r="G89" t="str">
        <f t="shared" si="8"/>
        <v>t_director_option0_1101801</v>
      </c>
      <c r="H89">
        <f>IF(策划表!E89="","",策划表!E89)</f>
        <v>1</v>
      </c>
      <c r="I89" t="str">
        <f>IF(策划表!F89="","",策划表!F89)</f>
        <v/>
      </c>
      <c r="J89" t="str">
        <f>IF(策划表!G89="","",策划表!G89)</f>
        <v/>
      </c>
      <c r="K89" t="str">
        <f>IF(策划表!H89="","",策划表!H89)</f>
        <v/>
      </c>
      <c r="L89" t="str">
        <f t="shared" si="9"/>
        <v>t_director_option1_1101801</v>
      </c>
      <c r="M89" t="str">
        <f>IF(策划表!I89="","",策划表!I89)</f>
        <v/>
      </c>
      <c r="N89" t="str">
        <f>IF(策划表!J89="","",策划表!J89)</f>
        <v/>
      </c>
      <c r="O89" t="str">
        <f>IF(策划表!K89="","",策划表!K89)</f>
        <v/>
      </c>
      <c r="P89" t="str">
        <f>IF(策划表!L89="","",策划表!L89)</f>
        <v/>
      </c>
      <c r="Q89" t="str">
        <f t="shared" si="10"/>
        <v>t_director_option2_1101801</v>
      </c>
      <c r="R89" t="str">
        <f>IF(策划表!M89="","",策划表!M89)</f>
        <v/>
      </c>
      <c r="S89" t="str">
        <f>IF(策划表!N89="","",策划表!N89)</f>
        <v/>
      </c>
      <c r="T89" t="str">
        <f>IF(策划表!O89="","",策划表!O89)</f>
        <v/>
      </c>
      <c r="U89" t="str">
        <f>IF(策划表!P89="","",策划表!P89)</f>
        <v/>
      </c>
      <c r="V89" t="str">
        <f t="shared" si="11"/>
        <v>t_director_option3_1101801</v>
      </c>
      <c r="W89" t="str">
        <f>IF(策划表!Q89="","",策划表!Q89)</f>
        <v/>
      </c>
      <c r="X89" t="str">
        <f>IF(策划表!R89="","",策划表!R89)</f>
        <v/>
      </c>
      <c r="Y89" t="str">
        <f>IF(策划表!S89="","",策划表!S89)</f>
        <v/>
      </c>
    </row>
    <row r="90" spans="1:25" x14ac:dyDescent="0.15">
      <c r="A90">
        <f>策划表!A90</f>
        <v>1101900</v>
      </c>
      <c r="B90" t="str">
        <f>IF(策划表!B90="","",策划表!B90)</f>
        <v>卡玛</v>
      </c>
      <c r="C90" t="str">
        <f t="shared" si="6"/>
        <v>t_director_title_1101900</v>
      </c>
      <c r="D90" t="str">
        <f>IF(策划表!C90="","",策划表!C90)</f>
        <v>冒险者，你狩猎到鹿肉了么？</v>
      </c>
      <c r="E90" t="str">
        <f t="shared" si="7"/>
        <v>t_director_dialog_1101900</v>
      </c>
      <c r="F90" t="str">
        <f>IF(策划表!D90="","",策划表!D90)</f>
        <v>交纳鹿肉</v>
      </c>
      <c r="G90" t="str">
        <f t="shared" si="8"/>
        <v>t_director_option0_1101900</v>
      </c>
      <c r="H90" t="str">
        <f>IF(策划表!E90="","",策划表!E90)</f>
        <v/>
      </c>
      <c r="I90">
        <f>IF(策划表!F90="","",策划表!F90)</f>
        <v>1101901</v>
      </c>
      <c r="J90" t="str">
        <f>IF(策划表!G90="","",策划表!G90)</f>
        <v/>
      </c>
      <c r="K90" t="str">
        <f>IF(策划表!H90="","",策划表!H90)</f>
        <v>我再去猎取</v>
      </c>
      <c r="L90" t="str">
        <f t="shared" si="9"/>
        <v>t_director_option1_1101900</v>
      </c>
      <c r="M90">
        <f>IF(策划表!I90="","",策划表!I90)</f>
        <v>2</v>
      </c>
      <c r="N90" t="str">
        <f>IF(策划表!J90="","",策划表!J90)</f>
        <v/>
      </c>
      <c r="O90" t="str">
        <f>IF(策划表!K90="","",策划表!K90)</f>
        <v/>
      </c>
      <c r="P90" t="str">
        <f>IF(策划表!L90="","",策划表!L90)</f>
        <v/>
      </c>
      <c r="Q90" t="str">
        <f t="shared" si="10"/>
        <v>t_director_option2_1101900</v>
      </c>
      <c r="R90" t="str">
        <f>IF(策划表!M90="","",策划表!M90)</f>
        <v/>
      </c>
      <c r="S90" t="str">
        <f>IF(策划表!N90="","",策划表!N90)</f>
        <v/>
      </c>
      <c r="T90" t="str">
        <f>IF(策划表!O90="","",策划表!O90)</f>
        <v/>
      </c>
      <c r="U90" t="str">
        <f>IF(策划表!P90="","",策划表!P90)</f>
        <v/>
      </c>
      <c r="V90" t="str">
        <f t="shared" si="11"/>
        <v>t_director_option3_1101900</v>
      </c>
      <c r="W90" t="str">
        <f>IF(策划表!Q90="","",策划表!Q90)</f>
        <v/>
      </c>
      <c r="X90" t="str">
        <f>IF(策划表!R90="","",策划表!R90)</f>
        <v/>
      </c>
      <c r="Y90" t="str">
        <f>IF(策划表!S90="","",策划表!S90)</f>
        <v/>
      </c>
    </row>
    <row r="91" spans="1:25" x14ac:dyDescent="0.15">
      <c r="A91">
        <f>策划表!A91</f>
        <v>1101901</v>
      </c>
      <c r="B91" t="str">
        <f>IF(策划表!B91="","",策划表!B91)</f>
        <v>卡玛</v>
      </c>
      <c r="C91" t="str">
        <f t="shared" si="6"/>
        <v>t_director_title_1101901</v>
      </c>
      <c r="D91" t="str">
        <f>IF(策划表!C91="","",策划表!C91)</f>
        <v>谢谢你了，冒险者，城镇中的人会记住你的恩德的。</v>
      </c>
      <c r="E91" t="str">
        <f t="shared" si="7"/>
        <v>t_director_dialog_1101901</v>
      </c>
      <c r="F91" t="str">
        <f>IF(策划表!D91="","",策划表!D91)</f>
        <v>不客气</v>
      </c>
      <c r="G91" t="str">
        <f t="shared" si="8"/>
        <v>t_director_option0_1101901</v>
      </c>
      <c r="H91">
        <f>IF(策划表!E91="","",策划表!E91)</f>
        <v>1</v>
      </c>
      <c r="I91" t="str">
        <f>IF(策划表!F91="","",策划表!F91)</f>
        <v/>
      </c>
      <c r="J91" t="str">
        <f>IF(策划表!G91="","",策划表!G91)</f>
        <v/>
      </c>
      <c r="K91" t="str">
        <f>IF(策划表!H91="","",策划表!H91)</f>
        <v>应该的</v>
      </c>
      <c r="L91" t="str">
        <f t="shared" si="9"/>
        <v>t_director_option1_1101901</v>
      </c>
      <c r="M91">
        <f>IF(策划表!I91="","",策划表!I91)</f>
        <v>1</v>
      </c>
      <c r="N91" t="str">
        <f>IF(策划表!J91="","",策划表!J91)</f>
        <v/>
      </c>
      <c r="O91" t="str">
        <f>IF(策划表!K91="","",策划表!K91)</f>
        <v/>
      </c>
      <c r="P91" t="str">
        <f>IF(策划表!L91="","",策划表!L91)</f>
        <v/>
      </c>
      <c r="Q91" t="str">
        <f t="shared" si="10"/>
        <v>t_director_option2_1101901</v>
      </c>
      <c r="R91" t="str">
        <f>IF(策划表!M91="","",策划表!M91)</f>
        <v/>
      </c>
      <c r="S91" t="str">
        <f>IF(策划表!N91="","",策划表!N91)</f>
        <v/>
      </c>
      <c r="T91" t="str">
        <f>IF(策划表!O91="","",策划表!O91)</f>
        <v/>
      </c>
      <c r="U91" t="str">
        <f>IF(策划表!P91="","",策划表!P91)</f>
        <v/>
      </c>
      <c r="V91" t="str">
        <f t="shared" si="11"/>
        <v>t_director_option3_1101901</v>
      </c>
      <c r="W91" t="str">
        <f>IF(策划表!Q91="","",策划表!Q91)</f>
        <v/>
      </c>
      <c r="X91" t="str">
        <f>IF(策划表!R91="","",策划表!R91)</f>
        <v/>
      </c>
      <c r="Y91" t="str">
        <f>IF(策划表!S91="","",策划表!S91)</f>
        <v/>
      </c>
    </row>
    <row r="92" spans="1:25" x14ac:dyDescent="0.15">
      <c r="A92">
        <f>策划表!A92</f>
        <v>1102000</v>
      </c>
      <c r="B92" t="str">
        <f>IF(策划表!B92="","",策划表!B92)</f>
        <v>汉森</v>
      </c>
      <c r="C92" t="str">
        <f t="shared" si="6"/>
        <v>t_director_title_1102000</v>
      </c>
      <c r="D92" t="str">
        <f>IF(策划表!C92="","",策划表!C92)</f>
        <v>你好像是刷子公会的冒险者?</v>
      </c>
      <c r="E92" t="str">
        <f t="shared" si="7"/>
        <v>t_director_dialog_1102000</v>
      </c>
      <c r="F92" t="str">
        <f>IF(策划表!D92="","",策划表!D92)</f>
        <v>…</v>
      </c>
      <c r="G92" t="str">
        <f t="shared" si="8"/>
        <v>t_director_option0_1102000</v>
      </c>
      <c r="H92" t="str">
        <f>IF(策划表!E92="","",策划表!E92)</f>
        <v/>
      </c>
      <c r="I92">
        <f>IF(策划表!F92="","",策划表!F92)</f>
        <v>1102001</v>
      </c>
      <c r="J92" t="str">
        <f>IF(策划表!G92="","",策划表!G92)</f>
        <v/>
      </c>
      <c r="K92" t="str">
        <f>IF(策划表!H92="","",策划表!H92)</f>
        <v>是的</v>
      </c>
      <c r="L92" t="str">
        <f t="shared" si="9"/>
        <v>t_director_option1_1102000</v>
      </c>
      <c r="M92" t="str">
        <f>IF(策划表!I92="","",策划表!I92)</f>
        <v/>
      </c>
      <c r="N92">
        <f>IF(策划表!J92="","",策划表!J92)</f>
        <v>1102001</v>
      </c>
      <c r="O92" t="str">
        <f>IF(策划表!K92="","",策划表!K92)</f>
        <v/>
      </c>
      <c r="P92" t="str">
        <f>IF(策划表!L92="","",策划表!L92)</f>
        <v/>
      </c>
      <c r="Q92" t="str">
        <f t="shared" si="10"/>
        <v>t_director_option2_1102000</v>
      </c>
      <c r="R92" t="str">
        <f>IF(策划表!M92="","",策划表!M92)</f>
        <v/>
      </c>
      <c r="S92" t="str">
        <f>IF(策划表!N92="","",策划表!N92)</f>
        <v/>
      </c>
      <c r="T92" t="str">
        <f>IF(策划表!O92="","",策划表!O92)</f>
        <v/>
      </c>
      <c r="U92" t="str">
        <f>IF(策划表!P92="","",策划表!P92)</f>
        <v/>
      </c>
      <c r="V92" t="str">
        <f t="shared" si="11"/>
        <v>t_director_option3_1102000</v>
      </c>
      <c r="W92" t="str">
        <f>IF(策划表!Q92="","",策划表!Q92)</f>
        <v/>
      </c>
      <c r="X92" t="str">
        <f>IF(策划表!R92="","",策划表!R92)</f>
        <v/>
      </c>
      <c r="Y92" t="str">
        <f>IF(策划表!S92="","",策划表!S92)</f>
        <v/>
      </c>
    </row>
    <row r="93" spans="1:25" x14ac:dyDescent="0.15">
      <c r="A93">
        <f>策划表!A93</f>
        <v>1102001</v>
      </c>
      <c r="B93" t="str">
        <f>IF(策划表!B93="","",策划表!B93)</f>
        <v>汉森</v>
      </c>
      <c r="C93" t="str">
        <f t="shared" si="6"/>
        <v>t_director_title_1102001</v>
      </c>
      <c r="D93" t="str">
        <f>IF(策划表!C93="","",策划表!C93)</f>
        <v>那正好，我是神殿的汉森·卡特，负责围杀该死的异端，我正好需要你的力量。</v>
      </c>
      <c r="E93" t="str">
        <f t="shared" si="7"/>
        <v>t_director_dialog_1102001</v>
      </c>
      <c r="F93" t="str">
        <f>IF(策划表!D93="","",策划表!D93)</f>
        <v>…</v>
      </c>
      <c r="G93" t="str">
        <f t="shared" si="8"/>
        <v>t_director_option0_1102001</v>
      </c>
      <c r="H93" t="str">
        <f>IF(策划表!E93="","",策划表!E93)</f>
        <v/>
      </c>
      <c r="I93">
        <f>IF(策划表!F93="","",策划表!F93)</f>
        <v>1102002</v>
      </c>
      <c r="J93" t="str">
        <f>IF(策划表!G93="","",策划表!G93)</f>
        <v/>
      </c>
      <c r="K93" t="str">
        <f>IF(策划表!H93="","",策划表!H93)</f>
        <v/>
      </c>
      <c r="L93" t="str">
        <f t="shared" si="9"/>
        <v>t_director_option1_1102001</v>
      </c>
      <c r="M93" t="str">
        <f>IF(策划表!I93="","",策划表!I93)</f>
        <v/>
      </c>
      <c r="N93" t="str">
        <f>IF(策划表!J93="","",策划表!J93)</f>
        <v/>
      </c>
      <c r="O93" t="str">
        <f>IF(策划表!K93="","",策划表!K93)</f>
        <v/>
      </c>
      <c r="P93" t="str">
        <f>IF(策划表!L93="","",策划表!L93)</f>
        <v/>
      </c>
      <c r="Q93" t="str">
        <f t="shared" si="10"/>
        <v>t_director_option2_1102001</v>
      </c>
      <c r="R93" t="str">
        <f>IF(策划表!M93="","",策划表!M93)</f>
        <v/>
      </c>
      <c r="S93" t="str">
        <f>IF(策划表!N93="","",策划表!N93)</f>
        <v/>
      </c>
      <c r="T93" t="str">
        <f>IF(策划表!O93="","",策划表!O93)</f>
        <v/>
      </c>
      <c r="U93" t="str">
        <f>IF(策划表!P93="","",策划表!P93)</f>
        <v/>
      </c>
      <c r="V93" t="str">
        <f t="shared" si="11"/>
        <v>t_director_option3_1102001</v>
      </c>
      <c r="W93" t="str">
        <f>IF(策划表!Q93="","",策划表!Q93)</f>
        <v/>
      </c>
      <c r="X93" t="str">
        <f>IF(策划表!R93="","",策划表!R93)</f>
        <v/>
      </c>
      <c r="Y93" t="str">
        <f>IF(策划表!S93="","",策划表!S93)</f>
        <v/>
      </c>
    </row>
    <row r="94" spans="1:25" x14ac:dyDescent="0.15">
      <c r="A94">
        <f>策划表!A94</f>
        <v>1102002</v>
      </c>
      <c r="B94" t="str">
        <f>IF(策划表!B94="","",策划表!B94)</f>
        <v>汉森</v>
      </c>
      <c r="C94" t="str">
        <f t="shared" si="6"/>
        <v>t_director_title_1102002</v>
      </c>
      <c r="D94" t="str">
        <f>IF(策划表!C94="","",策划表!C94)</f>
        <v>想为神殿办事，需要的供奉自然是不能少的。</v>
      </c>
      <c r="E94" t="str">
        <f t="shared" si="7"/>
        <v>t_director_dialog_1102002</v>
      </c>
      <c r="F94" t="str">
        <f>IF(策划表!D94="","",策划表!D94)</f>
        <v>…</v>
      </c>
      <c r="G94" t="str">
        <f t="shared" si="8"/>
        <v>t_director_option0_1102002</v>
      </c>
      <c r="H94" t="str">
        <f>IF(策划表!E94="","",策划表!E94)</f>
        <v/>
      </c>
      <c r="I94">
        <f>IF(策划表!F94="","",策划表!F94)</f>
        <v>1102003</v>
      </c>
      <c r="J94" t="str">
        <f>IF(策划表!G94="","",策划表!G94)</f>
        <v/>
      </c>
      <c r="K94" t="str">
        <f>IF(策划表!H94="","",策划表!H94)</f>
        <v/>
      </c>
      <c r="L94" t="str">
        <f t="shared" si="9"/>
        <v>t_director_option1_1102002</v>
      </c>
      <c r="M94" t="str">
        <f>IF(策划表!I94="","",策划表!I94)</f>
        <v/>
      </c>
      <c r="N94" t="str">
        <f>IF(策划表!J94="","",策划表!J94)</f>
        <v/>
      </c>
      <c r="O94" t="str">
        <f>IF(策划表!K94="","",策划表!K94)</f>
        <v/>
      </c>
      <c r="P94" t="str">
        <f>IF(策划表!L94="","",策划表!L94)</f>
        <v/>
      </c>
      <c r="Q94" t="str">
        <f t="shared" si="10"/>
        <v>t_director_option2_1102002</v>
      </c>
      <c r="R94" t="str">
        <f>IF(策划表!M94="","",策划表!M94)</f>
        <v/>
      </c>
      <c r="S94" t="str">
        <f>IF(策划表!N94="","",策划表!N94)</f>
        <v/>
      </c>
      <c r="T94" t="str">
        <f>IF(策划表!O94="","",策划表!O94)</f>
        <v/>
      </c>
      <c r="U94" t="str">
        <f>IF(策划表!P94="","",策划表!P94)</f>
        <v/>
      </c>
      <c r="V94" t="str">
        <f t="shared" si="11"/>
        <v>t_director_option3_1102002</v>
      </c>
      <c r="W94" t="str">
        <f>IF(策划表!Q94="","",策划表!Q94)</f>
        <v/>
      </c>
      <c r="X94" t="str">
        <f>IF(策划表!R94="","",策划表!R94)</f>
        <v/>
      </c>
      <c r="Y94" t="str">
        <f>IF(策划表!S94="","",策划表!S94)</f>
        <v/>
      </c>
    </row>
    <row r="95" spans="1:25" x14ac:dyDescent="0.15">
      <c r="A95">
        <f>策划表!A95</f>
        <v>1102003</v>
      </c>
      <c r="B95" t="str">
        <f>IF(策划表!B95="","",策划表!B95)</f>
        <v>汉森</v>
      </c>
      <c r="C95" t="str">
        <f t="shared" si="6"/>
        <v>t_director_title_1102003</v>
      </c>
      <c r="D95" t="str">
        <f>IF(策划表!C95="","",策划表!C95)</f>
        <v>盗贼身上会有铁块，你若是能帮我回收一些，神殿的这次任务，我就让你去做。</v>
      </c>
      <c r="E95" t="str">
        <f t="shared" si="7"/>
        <v>t_director_dialog_1102003</v>
      </c>
      <c r="F95" t="str">
        <f>IF(策划表!D95="","",策划表!D95)</f>
        <v>我去收集</v>
      </c>
      <c r="G95" t="str">
        <f t="shared" si="8"/>
        <v>t_director_option0_1102003</v>
      </c>
      <c r="H95" t="str">
        <f>IF(策划表!E95="","",策划表!E95)</f>
        <v/>
      </c>
      <c r="I95">
        <f>IF(策划表!F95="","",策划表!F95)</f>
        <v>1102004</v>
      </c>
      <c r="J95" t="str">
        <f>IF(策划表!G95="","",策划表!G95)</f>
        <v/>
      </c>
      <c r="K95" t="str">
        <f>IF(策划表!H95="","",策划表!H95)</f>
        <v>不感兴趣</v>
      </c>
      <c r="L95" t="str">
        <f t="shared" si="9"/>
        <v>t_director_option1_1102003</v>
      </c>
      <c r="M95">
        <f>IF(策划表!I95="","",策划表!I95)</f>
        <v>2</v>
      </c>
      <c r="N95" t="str">
        <f>IF(策划表!J95="","",策划表!J95)</f>
        <v/>
      </c>
      <c r="O95" t="str">
        <f>IF(策划表!K95="","",策划表!K95)</f>
        <v/>
      </c>
      <c r="P95" t="str">
        <f>IF(策划表!L95="","",策划表!L95)</f>
        <v/>
      </c>
      <c r="Q95" t="str">
        <f t="shared" si="10"/>
        <v>t_director_option2_1102003</v>
      </c>
      <c r="R95" t="str">
        <f>IF(策划表!M95="","",策划表!M95)</f>
        <v/>
      </c>
      <c r="S95" t="str">
        <f>IF(策划表!N95="","",策划表!N95)</f>
        <v/>
      </c>
      <c r="T95" t="str">
        <f>IF(策划表!O95="","",策划表!O95)</f>
        <v/>
      </c>
      <c r="U95" t="str">
        <f>IF(策划表!P95="","",策划表!P95)</f>
        <v/>
      </c>
      <c r="V95" t="str">
        <f t="shared" si="11"/>
        <v>t_director_option3_1102003</v>
      </c>
      <c r="W95" t="str">
        <f>IF(策划表!Q95="","",策划表!Q95)</f>
        <v/>
      </c>
      <c r="X95" t="str">
        <f>IF(策划表!R95="","",策划表!R95)</f>
        <v/>
      </c>
      <c r="Y95" t="str">
        <f>IF(策划表!S95="","",策划表!S95)</f>
        <v/>
      </c>
    </row>
    <row r="96" spans="1:25" x14ac:dyDescent="0.15">
      <c r="A96">
        <f>策划表!A96</f>
        <v>1102050</v>
      </c>
      <c r="B96" t="str">
        <f>IF(策划表!B96="","",策划表!B96)</f>
        <v>汉森</v>
      </c>
      <c r="C96" t="str">
        <f t="shared" si="6"/>
        <v>t_director_title_1102050</v>
      </c>
      <c r="D96" t="str">
        <f>IF(策划表!C96="","",策划表!C96)</f>
        <v>你收集到铁块没？</v>
      </c>
      <c r="E96" t="str">
        <f t="shared" si="7"/>
        <v>t_director_dialog_1102050</v>
      </c>
      <c r="F96" t="str">
        <f>IF(策划表!D96="","",策划表!D96)</f>
        <v>交纳铁块</v>
      </c>
      <c r="G96" t="str">
        <f t="shared" si="8"/>
        <v>t_director_option0_1102050</v>
      </c>
      <c r="H96" t="str">
        <f>IF(策划表!E96="","",策划表!E96)</f>
        <v/>
      </c>
      <c r="I96">
        <f>IF(策划表!F96="","",策划表!F96)</f>
        <v>1102051</v>
      </c>
      <c r="J96" t="str">
        <f>IF(策划表!G96="","",策划表!G96)</f>
        <v/>
      </c>
      <c r="K96" t="str">
        <f>IF(策划表!H96="","",策划表!H96)</f>
        <v/>
      </c>
      <c r="L96" t="str">
        <f t="shared" si="9"/>
        <v>t_director_option1_1102050</v>
      </c>
      <c r="M96" t="str">
        <f>IF(策划表!I96="","",策划表!I96)</f>
        <v/>
      </c>
      <c r="N96" t="str">
        <f>IF(策划表!J96="","",策划表!J96)</f>
        <v/>
      </c>
      <c r="O96" t="str">
        <f>IF(策划表!K96="","",策划表!K96)</f>
        <v/>
      </c>
      <c r="P96" t="str">
        <f>IF(策划表!L96="","",策划表!L96)</f>
        <v/>
      </c>
      <c r="Q96" t="str">
        <f t="shared" si="10"/>
        <v>t_director_option2_1102050</v>
      </c>
      <c r="R96" t="str">
        <f>IF(策划表!M96="","",策划表!M96)</f>
        <v/>
      </c>
      <c r="S96" t="str">
        <f>IF(策划表!N96="","",策划表!N96)</f>
        <v/>
      </c>
      <c r="T96" t="str">
        <f>IF(策划表!O96="","",策划表!O96)</f>
        <v/>
      </c>
      <c r="U96" t="str">
        <f>IF(策划表!P96="","",策划表!P96)</f>
        <v/>
      </c>
      <c r="V96" t="str">
        <f t="shared" si="11"/>
        <v>t_director_option3_1102050</v>
      </c>
      <c r="W96" t="str">
        <f>IF(策划表!Q96="","",策划表!Q96)</f>
        <v/>
      </c>
      <c r="X96" t="str">
        <f>IF(策划表!R96="","",策划表!R96)</f>
        <v/>
      </c>
      <c r="Y96" t="str">
        <f>IF(策划表!S96="","",策划表!S96)</f>
        <v/>
      </c>
    </row>
    <row r="97" spans="1:25" x14ac:dyDescent="0.15">
      <c r="A97">
        <f>策划表!A97</f>
        <v>1102051</v>
      </c>
      <c r="B97" t="str">
        <f>IF(策划表!B97="","",策划表!B97)</f>
        <v>汉森</v>
      </c>
      <c r="C97" t="str">
        <f t="shared" si="6"/>
        <v>t_director_title_1102051</v>
      </c>
      <c r="D97" t="str">
        <f>IF(策划表!C97="","",策划表!C97)</f>
        <v>你挺懂事，那么你就去讨伐异端巫婆吧。</v>
      </c>
      <c r="E97" t="str">
        <f t="shared" si="7"/>
        <v>t_director_dialog_1102051</v>
      </c>
      <c r="F97" t="str">
        <f>IF(策划表!D97="","",策划表!D97)</f>
        <v>好的</v>
      </c>
      <c r="G97" t="str">
        <f t="shared" si="8"/>
        <v>t_director_option0_1102051</v>
      </c>
      <c r="H97">
        <f>IF(策划表!E97="","",策划表!E97)</f>
        <v>1</v>
      </c>
      <c r="I97" t="str">
        <f>IF(策划表!F97="","",策划表!F97)</f>
        <v/>
      </c>
      <c r="J97" t="str">
        <f>IF(策划表!G97="","",策划表!G97)</f>
        <v/>
      </c>
      <c r="K97" t="str">
        <f>IF(策划表!H97="","",策划表!H97)</f>
        <v/>
      </c>
      <c r="L97" t="str">
        <f t="shared" si="9"/>
        <v>t_director_option1_1102051</v>
      </c>
      <c r="M97" t="str">
        <f>IF(策划表!I97="","",策划表!I97)</f>
        <v/>
      </c>
      <c r="N97" t="str">
        <f>IF(策划表!J97="","",策划表!J97)</f>
        <v/>
      </c>
      <c r="O97" t="str">
        <f>IF(策划表!K97="","",策划表!K97)</f>
        <v/>
      </c>
      <c r="P97" t="str">
        <f>IF(策划表!L97="","",策划表!L97)</f>
        <v/>
      </c>
      <c r="Q97" t="str">
        <f t="shared" si="10"/>
        <v>t_director_option2_1102051</v>
      </c>
      <c r="R97" t="str">
        <f>IF(策划表!M97="","",策划表!M97)</f>
        <v/>
      </c>
      <c r="S97" t="str">
        <f>IF(策划表!N97="","",策划表!N97)</f>
        <v/>
      </c>
      <c r="T97" t="str">
        <f>IF(策划表!O97="","",策划表!O97)</f>
        <v/>
      </c>
      <c r="U97" t="str">
        <f>IF(策划表!P97="","",策划表!P97)</f>
        <v/>
      </c>
      <c r="V97" t="str">
        <f t="shared" si="11"/>
        <v>t_director_option3_1102051</v>
      </c>
      <c r="W97" t="str">
        <f>IF(策划表!Q97="","",策划表!Q97)</f>
        <v/>
      </c>
      <c r="X97" t="str">
        <f>IF(策划表!R97="","",策划表!R97)</f>
        <v/>
      </c>
      <c r="Y97" t="str">
        <f>IF(策划表!S97="","",策划表!S97)</f>
        <v/>
      </c>
    </row>
    <row r="98" spans="1:25" x14ac:dyDescent="0.15">
      <c r="A98">
        <f>策划表!A98</f>
        <v>1102100</v>
      </c>
      <c r="B98" t="str">
        <f>IF(策划表!B98="","",策划表!B98)</f>
        <v>汉森</v>
      </c>
      <c r="C98" t="str">
        <f t="shared" si="6"/>
        <v>t_director_title_1102100</v>
      </c>
      <c r="D98" t="str">
        <f>IF(策划表!C98="","",策划表!C98)</f>
        <v>你任务完成的怎么样了？</v>
      </c>
      <c r="E98" t="str">
        <f t="shared" si="7"/>
        <v>t_director_dialog_1102100</v>
      </c>
      <c r="F98" t="str">
        <f>IF(策划表!D98="","",策划表!D98)</f>
        <v>完成了</v>
      </c>
      <c r="G98" t="str">
        <f t="shared" si="8"/>
        <v>t_director_option0_1102100</v>
      </c>
      <c r="H98" t="str">
        <f>IF(策划表!E98="","",策划表!E98)</f>
        <v/>
      </c>
      <c r="I98">
        <f>IF(策划表!F98="","",策划表!F98)</f>
        <v>1102101</v>
      </c>
      <c r="J98" t="str">
        <f>IF(策划表!G98="","",策划表!G98)</f>
        <v/>
      </c>
      <c r="K98" t="str">
        <f>IF(策划表!H98="","",策划表!H98)</f>
        <v>我再去讨伐</v>
      </c>
      <c r="L98" t="str">
        <f t="shared" si="9"/>
        <v>t_director_option1_1102100</v>
      </c>
      <c r="M98">
        <f>IF(策划表!I98="","",策划表!I98)</f>
        <v>2</v>
      </c>
      <c r="N98" t="str">
        <f>IF(策划表!J98="","",策划表!J98)</f>
        <v/>
      </c>
      <c r="O98" t="str">
        <f>IF(策划表!K98="","",策划表!K98)</f>
        <v/>
      </c>
      <c r="P98" t="str">
        <f>IF(策划表!L98="","",策划表!L98)</f>
        <v/>
      </c>
      <c r="Q98" t="str">
        <f t="shared" si="10"/>
        <v>t_director_option2_1102100</v>
      </c>
      <c r="R98" t="str">
        <f>IF(策划表!M98="","",策划表!M98)</f>
        <v/>
      </c>
      <c r="S98" t="str">
        <f>IF(策划表!N98="","",策划表!N98)</f>
        <v/>
      </c>
      <c r="T98" t="str">
        <f>IF(策划表!O98="","",策划表!O98)</f>
        <v/>
      </c>
      <c r="U98" t="str">
        <f>IF(策划表!P98="","",策划表!P98)</f>
        <v/>
      </c>
      <c r="V98" t="str">
        <f t="shared" si="11"/>
        <v>t_director_option3_1102100</v>
      </c>
      <c r="W98" t="str">
        <f>IF(策划表!Q98="","",策划表!Q98)</f>
        <v/>
      </c>
      <c r="X98" t="str">
        <f>IF(策划表!R98="","",策划表!R98)</f>
        <v/>
      </c>
      <c r="Y98" t="str">
        <f>IF(策划表!S98="","",策划表!S98)</f>
        <v/>
      </c>
    </row>
    <row r="99" spans="1:25" x14ac:dyDescent="0.15">
      <c r="A99">
        <f>策划表!A99</f>
        <v>1102101</v>
      </c>
      <c r="B99" t="str">
        <f>IF(策划表!B99="","",策划表!B99)</f>
        <v>汉森</v>
      </c>
      <c r="C99" t="str">
        <f t="shared" si="6"/>
        <v>t_director_title_1102101</v>
      </c>
      <c r="D99" t="str">
        <f>IF(策划表!C99="","",策划表!C99)</f>
        <v>击杀这么多，我也算消气了。</v>
      </c>
      <c r="E99" t="str">
        <f t="shared" si="7"/>
        <v>t_director_dialog_1102101</v>
      </c>
      <c r="F99" t="str">
        <f>IF(策划表!D99="","",策划表!D99)</f>
        <v>…</v>
      </c>
      <c r="G99" t="str">
        <f t="shared" si="8"/>
        <v>t_director_option0_1102101</v>
      </c>
      <c r="H99" t="str">
        <f>IF(策划表!E99="","",策划表!E99)</f>
        <v/>
      </c>
      <c r="I99">
        <f>IF(策划表!F99="","",策划表!F99)</f>
        <v>1102102</v>
      </c>
      <c r="J99" t="str">
        <f>IF(策划表!G99="","",策划表!G99)</f>
        <v/>
      </c>
      <c r="K99" t="str">
        <f>IF(策划表!H99="","",策划表!H99)</f>
        <v/>
      </c>
      <c r="L99" t="str">
        <f t="shared" si="9"/>
        <v>t_director_option1_1102101</v>
      </c>
      <c r="M99" t="str">
        <f>IF(策划表!I99="","",策划表!I99)</f>
        <v/>
      </c>
      <c r="N99" t="str">
        <f>IF(策划表!J99="","",策划表!J99)</f>
        <v/>
      </c>
      <c r="O99" t="str">
        <f>IF(策划表!K99="","",策划表!K99)</f>
        <v/>
      </c>
      <c r="P99" t="str">
        <f>IF(策划表!L99="","",策划表!L99)</f>
        <v/>
      </c>
      <c r="Q99" t="str">
        <f t="shared" si="10"/>
        <v>t_director_option2_1102101</v>
      </c>
      <c r="R99" t="str">
        <f>IF(策划表!M99="","",策划表!M99)</f>
        <v/>
      </c>
      <c r="S99" t="str">
        <f>IF(策划表!N99="","",策划表!N99)</f>
        <v/>
      </c>
      <c r="T99" t="str">
        <f>IF(策划表!O99="","",策划表!O99)</f>
        <v/>
      </c>
      <c r="U99" t="str">
        <f>IF(策划表!P99="","",策划表!P99)</f>
        <v/>
      </c>
      <c r="V99" t="str">
        <f t="shared" si="11"/>
        <v>t_director_option3_1102101</v>
      </c>
      <c r="W99" t="str">
        <f>IF(策划表!Q99="","",策划表!Q99)</f>
        <v/>
      </c>
      <c r="X99" t="str">
        <f>IF(策划表!R99="","",策划表!R99)</f>
        <v/>
      </c>
      <c r="Y99" t="str">
        <f>IF(策划表!S99="","",策划表!S99)</f>
        <v/>
      </c>
    </row>
    <row r="100" spans="1:25" x14ac:dyDescent="0.15">
      <c r="A100">
        <f>策划表!A100</f>
        <v>1102102</v>
      </c>
      <c r="B100" t="str">
        <f>IF(策划表!B100="","",策划表!B100)</f>
        <v>汉森</v>
      </c>
      <c r="C100" t="str">
        <f t="shared" si="6"/>
        <v>t_director_title_1102102</v>
      </c>
      <c r="D100" t="str">
        <f>IF(策划表!C100="","",策划表!C100)</f>
        <v>巫婆的身上会有破碎的魔法结晶，你去可收集了给我。</v>
      </c>
      <c r="E100" t="str">
        <f t="shared" si="7"/>
        <v>t_director_dialog_1102102</v>
      </c>
      <c r="F100" t="str">
        <f>IF(策划表!D100="","",策划表!D100)</f>
        <v>好的</v>
      </c>
      <c r="G100" t="str">
        <f t="shared" si="8"/>
        <v>t_director_option0_1102102</v>
      </c>
      <c r="H100">
        <f>IF(策划表!E100="","",策划表!E100)</f>
        <v>1</v>
      </c>
      <c r="I100" t="str">
        <f>IF(策划表!F100="","",策划表!F100)</f>
        <v/>
      </c>
      <c r="J100" t="str">
        <f>IF(策划表!G100="","",策划表!G100)</f>
        <v/>
      </c>
      <c r="K100" t="str">
        <f>IF(策划表!H100="","",策划表!H100)</f>
        <v>收集那个做什么</v>
      </c>
      <c r="L100" t="str">
        <f t="shared" si="9"/>
        <v>t_director_option1_1102102</v>
      </c>
      <c r="M100" t="str">
        <f>IF(策划表!I100="","",策划表!I100)</f>
        <v/>
      </c>
      <c r="N100">
        <f>IF(策划表!J100="","",策划表!J100)</f>
        <v>1102103</v>
      </c>
      <c r="O100" t="str">
        <f>IF(策划表!K100="","",策划表!K100)</f>
        <v/>
      </c>
      <c r="P100" t="str">
        <f>IF(策划表!L100="","",策划表!L100)</f>
        <v/>
      </c>
      <c r="Q100" t="str">
        <f t="shared" si="10"/>
        <v>t_director_option2_1102102</v>
      </c>
      <c r="R100" t="str">
        <f>IF(策划表!M100="","",策划表!M100)</f>
        <v/>
      </c>
      <c r="S100" t="str">
        <f>IF(策划表!N100="","",策划表!N100)</f>
        <v/>
      </c>
      <c r="T100" t="str">
        <f>IF(策划表!O100="","",策划表!O100)</f>
        <v/>
      </c>
      <c r="U100" t="str">
        <f>IF(策划表!P100="","",策划表!P100)</f>
        <v/>
      </c>
      <c r="V100" t="str">
        <f t="shared" si="11"/>
        <v>t_director_option3_1102102</v>
      </c>
      <c r="W100" t="str">
        <f>IF(策划表!Q100="","",策划表!Q100)</f>
        <v/>
      </c>
      <c r="X100" t="str">
        <f>IF(策划表!R100="","",策划表!R100)</f>
        <v/>
      </c>
      <c r="Y100" t="str">
        <f>IF(策划表!S100="","",策划表!S100)</f>
        <v/>
      </c>
    </row>
    <row r="101" spans="1:25" x14ac:dyDescent="0.15">
      <c r="A101">
        <f>策划表!A101</f>
        <v>1102103</v>
      </c>
      <c r="B101" t="str">
        <f>IF(策划表!B101="","",策划表!B101)</f>
        <v>汉森</v>
      </c>
      <c r="C101" t="str">
        <f t="shared" si="6"/>
        <v>t_director_title_1102103</v>
      </c>
      <c r="D101" t="str">
        <f>IF(策划表!C101="","",策划表!C101)</f>
        <v>那东西可以卖钱的，你知道不知道，快去给我收集去。</v>
      </c>
      <c r="E101" t="str">
        <f t="shared" si="7"/>
        <v>t_director_dialog_1102103</v>
      </c>
      <c r="F101" t="str">
        <f>IF(策划表!D101="","",策划表!D101)</f>
        <v>好的</v>
      </c>
      <c r="G101" t="str">
        <f t="shared" si="8"/>
        <v>t_director_option0_1102103</v>
      </c>
      <c r="H101">
        <f>IF(策划表!E101="","",策划表!E101)</f>
        <v>1</v>
      </c>
      <c r="I101" t="str">
        <f>IF(策划表!F101="","",策划表!F101)</f>
        <v/>
      </c>
      <c r="J101" t="str">
        <f>IF(策划表!G101="","",策划表!G101)</f>
        <v/>
      </c>
      <c r="K101" t="str">
        <f>IF(策划表!H101="","",策划表!H101)</f>
        <v>转身离开</v>
      </c>
      <c r="L101" t="str">
        <f t="shared" si="9"/>
        <v>t_director_option1_1102103</v>
      </c>
      <c r="M101" t="str">
        <f>IF(策划表!I101="","",策划表!I101)</f>
        <v/>
      </c>
      <c r="N101">
        <f>IF(策划表!J101="","",策划表!J101)</f>
        <v>1102104</v>
      </c>
      <c r="O101" t="str">
        <f>IF(策划表!K101="","",策划表!K101)</f>
        <v/>
      </c>
      <c r="P101" t="str">
        <f>IF(策划表!L101="","",策划表!L101)</f>
        <v/>
      </c>
      <c r="Q101" t="str">
        <f t="shared" si="10"/>
        <v>t_director_option2_1102103</v>
      </c>
      <c r="R101" t="str">
        <f>IF(策划表!M101="","",策划表!M101)</f>
        <v/>
      </c>
      <c r="S101" t="str">
        <f>IF(策划表!N101="","",策划表!N101)</f>
        <v/>
      </c>
      <c r="T101" t="str">
        <f>IF(策划表!O101="","",策划表!O101)</f>
        <v/>
      </c>
      <c r="U101" t="str">
        <f>IF(策划表!P101="","",策划表!P101)</f>
        <v/>
      </c>
      <c r="V101" t="str">
        <f t="shared" si="11"/>
        <v>t_director_option3_1102103</v>
      </c>
      <c r="W101" t="str">
        <f>IF(策划表!Q101="","",策划表!Q101)</f>
        <v/>
      </c>
      <c r="X101" t="str">
        <f>IF(策划表!R101="","",策划表!R101)</f>
        <v/>
      </c>
      <c r="Y101" t="str">
        <f>IF(策划表!S101="","",策划表!S101)</f>
        <v/>
      </c>
    </row>
    <row r="102" spans="1:25" x14ac:dyDescent="0.15">
      <c r="A102">
        <f>策划表!A102</f>
        <v>1102104</v>
      </c>
      <c r="B102" t="str">
        <f>IF(策划表!B102="","",策划表!B102)</f>
        <v>汉森</v>
      </c>
      <c r="C102" t="str">
        <f t="shared" si="6"/>
        <v>t_director_title_1102104</v>
      </c>
      <c r="D102" t="str">
        <f>IF(策划表!C102="","",策划表!C102)</f>
        <v>神殿的任务你都不接了吗？冒险者？</v>
      </c>
      <c r="E102" t="str">
        <f t="shared" si="7"/>
        <v>t_director_dialog_1102104</v>
      </c>
      <c r="F102" t="str">
        <f>IF(策划表!D102="","",策划表!D102)</f>
        <v>接受</v>
      </c>
      <c r="G102" t="str">
        <f t="shared" si="8"/>
        <v>t_director_option0_1102104</v>
      </c>
      <c r="H102">
        <f>IF(策划表!E102="","",策划表!E102)</f>
        <v>1</v>
      </c>
      <c r="I102" t="str">
        <f>IF(策划表!F102="","",策划表!F102)</f>
        <v/>
      </c>
      <c r="J102" t="str">
        <f>IF(策划表!G102="","",策划表!G102)</f>
        <v/>
      </c>
      <c r="K102" t="str">
        <f>IF(策划表!H102="","",策划表!H102)</f>
        <v>继续离开</v>
      </c>
      <c r="L102" t="str">
        <f t="shared" si="9"/>
        <v>t_director_option1_1102104</v>
      </c>
      <c r="M102" t="str">
        <f>IF(策划表!I102="","",策划表!I102)</f>
        <v/>
      </c>
      <c r="N102">
        <f>IF(策划表!J102="","",策划表!J102)</f>
        <v>1102105</v>
      </c>
      <c r="O102" t="str">
        <f>IF(策划表!K102="","",策划表!K102)</f>
        <v/>
      </c>
      <c r="P102" t="str">
        <f>IF(策划表!L102="","",策划表!L102)</f>
        <v/>
      </c>
      <c r="Q102" t="str">
        <f t="shared" si="10"/>
        <v>t_director_option2_1102104</v>
      </c>
      <c r="R102" t="str">
        <f>IF(策划表!M102="","",策划表!M102)</f>
        <v/>
      </c>
      <c r="S102" t="str">
        <f>IF(策划表!N102="","",策划表!N102)</f>
        <v/>
      </c>
      <c r="T102" t="str">
        <f>IF(策划表!O102="","",策划表!O102)</f>
        <v/>
      </c>
      <c r="U102" t="str">
        <f>IF(策划表!P102="","",策划表!P102)</f>
        <v/>
      </c>
      <c r="V102" t="str">
        <f t="shared" si="11"/>
        <v>t_director_option3_1102104</v>
      </c>
      <c r="W102" t="str">
        <f>IF(策划表!Q102="","",策划表!Q102)</f>
        <v/>
      </c>
      <c r="X102" t="str">
        <f>IF(策划表!R102="","",策划表!R102)</f>
        <v/>
      </c>
      <c r="Y102" t="str">
        <f>IF(策划表!S102="","",策划表!S102)</f>
        <v/>
      </c>
    </row>
    <row r="103" spans="1:25" x14ac:dyDescent="0.15">
      <c r="A103">
        <f>策划表!A103</f>
        <v>1102105</v>
      </c>
      <c r="B103" t="str">
        <f>IF(策划表!B103="","",策划表!B103)</f>
        <v>汉森</v>
      </c>
      <c r="C103" t="str">
        <f t="shared" si="6"/>
        <v>t_director_title_1102105</v>
      </c>
      <c r="D103" t="str">
        <f>IF(策划表!C103="","",策划表!C103)</f>
        <v>你别走啊，我可打不过巫婆。</v>
      </c>
      <c r="E103" t="str">
        <f t="shared" si="7"/>
        <v>t_director_dialog_1102105</v>
      </c>
      <c r="F103" t="str">
        <f>IF(策划表!D103="","",策划表!D103)</f>
        <v>继续离开</v>
      </c>
      <c r="G103" t="str">
        <f t="shared" si="8"/>
        <v>t_director_option0_1102105</v>
      </c>
      <c r="H103" t="str">
        <f>IF(策划表!E103="","",策划表!E103)</f>
        <v/>
      </c>
      <c r="I103">
        <f>IF(策划表!F103="","",策划表!F103)</f>
        <v>1102106</v>
      </c>
      <c r="J103" t="str">
        <f>IF(策划表!G103="","",策划表!G103)</f>
        <v/>
      </c>
      <c r="K103" t="str">
        <f>IF(策划表!H103="","",策划表!H103)</f>
        <v/>
      </c>
      <c r="L103" t="str">
        <f t="shared" si="9"/>
        <v>t_director_option1_1102105</v>
      </c>
      <c r="M103" t="str">
        <f>IF(策划表!I103="","",策划表!I103)</f>
        <v/>
      </c>
      <c r="N103" t="str">
        <f>IF(策划表!J103="","",策划表!J103)</f>
        <v/>
      </c>
      <c r="O103" t="str">
        <f>IF(策划表!K103="","",策划表!K103)</f>
        <v/>
      </c>
      <c r="P103" t="str">
        <f>IF(策划表!L103="","",策划表!L103)</f>
        <v/>
      </c>
      <c r="Q103" t="str">
        <f t="shared" si="10"/>
        <v>t_director_option2_1102105</v>
      </c>
      <c r="R103" t="str">
        <f>IF(策划表!M103="","",策划表!M103)</f>
        <v/>
      </c>
      <c r="S103" t="str">
        <f>IF(策划表!N103="","",策划表!N103)</f>
        <v/>
      </c>
      <c r="T103" t="str">
        <f>IF(策划表!O103="","",策划表!O103)</f>
        <v/>
      </c>
      <c r="U103" t="str">
        <f>IF(策划表!P103="","",策划表!P103)</f>
        <v/>
      </c>
      <c r="V103" t="str">
        <f t="shared" si="11"/>
        <v>t_director_option3_1102105</v>
      </c>
      <c r="W103" t="str">
        <f>IF(策划表!Q103="","",策划表!Q103)</f>
        <v/>
      </c>
      <c r="X103" t="str">
        <f>IF(策划表!R103="","",策划表!R103)</f>
        <v/>
      </c>
      <c r="Y103" t="str">
        <f>IF(策划表!S103="","",策划表!S103)</f>
        <v/>
      </c>
    </row>
    <row r="104" spans="1:25" x14ac:dyDescent="0.15">
      <c r="A104">
        <f>策划表!A104</f>
        <v>1102106</v>
      </c>
      <c r="B104" t="str">
        <f>IF(策划表!B104="","",策划表!B104)</f>
        <v>汉森</v>
      </c>
      <c r="C104" t="str">
        <f t="shared" si="6"/>
        <v>t_director_title_1102106</v>
      </c>
      <c r="D104" t="str">
        <f>IF(策划表!C104="","",策划表!C104)</f>
        <v>大人，我错了，我会给你报酬的，帮帮我。</v>
      </c>
      <c r="E104" t="str">
        <f t="shared" si="7"/>
        <v>t_director_dialog_1102106</v>
      </c>
      <c r="F104" t="str">
        <f>IF(策划表!D104="","",策划表!D104)</f>
        <v>好吧，我接受你的委托</v>
      </c>
      <c r="G104" t="str">
        <f t="shared" si="8"/>
        <v>t_director_option0_1102106</v>
      </c>
      <c r="H104" t="str">
        <f>IF(策划表!E104="","",策划表!E104)</f>
        <v/>
      </c>
      <c r="I104">
        <f>IF(策划表!F104="","",策划表!F104)</f>
        <v>1102107</v>
      </c>
      <c r="J104" t="str">
        <f>IF(策划表!G104="","",策划表!G104)</f>
        <v/>
      </c>
      <c r="K104" t="str">
        <f>IF(策划表!H104="","",策划表!H104)</f>
        <v/>
      </c>
      <c r="L104" t="str">
        <f t="shared" si="9"/>
        <v>t_director_option1_1102106</v>
      </c>
      <c r="M104" t="str">
        <f>IF(策划表!I104="","",策划表!I104)</f>
        <v/>
      </c>
      <c r="N104" t="str">
        <f>IF(策划表!J104="","",策划表!J104)</f>
        <v/>
      </c>
      <c r="O104" t="str">
        <f>IF(策划表!K104="","",策划表!K104)</f>
        <v/>
      </c>
      <c r="P104" t="str">
        <f>IF(策划表!L104="","",策划表!L104)</f>
        <v/>
      </c>
      <c r="Q104" t="str">
        <f t="shared" si="10"/>
        <v>t_director_option2_1102106</v>
      </c>
      <c r="R104" t="str">
        <f>IF(策划表!M104="","",策划表!M104)</f>
        <v/>
      </c>
      <c r="S104" t="str">
        <f>IF(策划表!N104="","",策划表!N104)</f>
        <v/>
      </c>
      <c r="T104" t="str">
        <f>IF(策划表!O104="","",策划表!O104)</f>
        <v/>
      </c>
      <c r="U104" t="str">
        <f>IF(策划表!P104="","",策划表!P104)</f>
        <v/>
      </c>
      <c r="V104" t="str">
        <f t="shared" si="11"/>
        <v>t_director_option3_1102106</v>
      </c>
      <c r="W104" t="str">
        <f>IF(策划表!Q104="","",策划表!Q104)</f>
        <v/>
      </c>
      <c r="X104" t="str">
        <f>IF(策划表!R104="","",策划表!R104)</f>
        <v/>
      </c>
      <c r="Y104" t="str">
        <f>IF(策划表!S104="","",策划表!S104)</f>
        <v/>
      </c>
    </row>
    <row r="105" spans="1:25" x14ac:dyDescent="0.15">
      <c r="A105">
        <f>策划表!A105</f>
        <v>1102107</v>
      </c>
      <c r="B105" t="str">
        <f>IF(策划表!B105="","",策划表!B105)</f>
        <v>汉森</v>
      </c>
      <c r="C105" t="str">
        <f t="shared" si="6"/>
        <v>t_director_title_1102107</v>
      </c>
      <c r="D105" t="str">
        <f>IF(策划表!C105="","",策划表!C105)</f>
        <v>谢谢大人，谢谢阁下。</v>
      </c>
      <c r="E105" t="str">
        <f t="shared" si="7"/>
        <v>t_director_dialog_1102107</v>
      </c>
      <c r="F105" t="str">
        <f>IF(策划表!D105="","",策划表!D105)</f>
        <v>…</v>
      </c>
      <c r="G105" t="str">
        <f t="shared" si="8"/>
        <v>t_director_option0_1102107</v>
      </c>
      <c r="H105">
        <f>IF(策划表!E105="","",策划表!E105)</f>
        <v>1</v>
      </c>
      <c r="I105" t="str">
        <f>IF(策划表!F105="","",策划表!F105)</f>
        <v/>
      </c>
      <c r="J105" t="str">
        <f>IF(策划表!G105="","",策划表!G105)</f>
        <v/>
      </c>
      <c r="K105" t="str">
        <f>IF(策划表!H105="","",策划表!H105)</f>
        <v/>
      </c>
      <c r="L105" t="str">
        <f t="shared" si="9"/>
        <v>t_director_option1_1102107</v>
      </c>
      <c r="M105" t="str">
        <f>IF(策划表!I105="","",策划表!I105)</f>
        <v/>
      </c>
      <c r="N105" t="str">
        <f>IF(策划表!J105="","",策划表!J105)</f>
        <v/>
      </c>
      <c r="O105" t="str">
        <f>IF(策划表!K105="","",策划表!K105)</f>
        <v/>
      </c>
      <c r="P105" t="str">
        <f>IF(策划表!L105="","",策划表!L105)</f>
        <v/>
      </c>
      <c r="Q105" t="str">
        <f t="shared" si="10"/>
        <v>t_director_option2_1102107</v>
      </c>
      <c r="R105" t="str">
        <f>IF(策划表!M105="","",策划表!M105)</f>
        <v/>
      </c>
      <c r="S105" t="str">
        <f>IF(策划表!N105="","",策划表!N105)</f>
        <v/>
      </c>
      <c r="T105" t="str">
        <f>IF(策划表!O105="","",策划表!O105)</f>
        <v/>
      </c>
      <c r="U105" t="str">
        <f>IF(策划表!P105="","",策划表!P105)</f>
        <v/>
      </c>
      <c r="V105" t="str">
        <f t="shared" si="11"/>
        <v>t_director_option3_1102107</v>
      </c>
      <c r="W105" t="str">
        <f>IF(策划表!Q105="","",策划表!Q105)</f>
        <v/>
      </c>
      <c r="X105" t="str">
        <f>IF(策划表!R105="","",策划表!R105)</f>
        <v/>
      </c>
      <c r="Y105" t="str">
        <f>IF(策划表!S105="","",策划表!S105)</f>
        <v/>
      </c>
    </row>
    <row r="106" spans="1:25" x14ac:dyDescent="0.15">
      <c r="A106">
        <f>策划表!A106</f>
        <v>1102200</v>
      </c>
      <c r="B106" t="str">
        <f>IF(策划表!B106="","",策划表!B106)</f>
        <v>汉森</v>
      </c>
      <c r="C106" t="str">
        <f t="shared" si="6"/>
        <v>t_director_title_1102200</v>
      </c>
      <c r="D106" t="str">
        <f>IF(策划表!C106="","",策划表!C106)</f>
        <v>你收集到破碎的魔法结晶没？</v>
      </c>
      <c r="E106" t="str">
        <f t="shared" si="7"/>
        <v>t_director_dialog_1102200</v>
      </c>
      <c r="F106" t="str">
        <f>IF(策划表!D106="","",策划表!D106)</f>
        <v>交纳破碎的魔法结晶</v>
      </c>
      <c r="G106" t="str">
        <f t="shared" si="8"/>
        <v>t_director_option0_1102200</v>
      </c>
      <c r="H106" t="str">
        <f>IF(策划表!E106="","",策划表!E106)</f>
        <v/>
      </c>
      <c r="I106">
        <f>IF(策划表!F106="","",策划表!F106)</f>
        <v>1102201</v>
      </c>
      <c r="J106" t="str">
        <f>IF(策划表!G106="","",策划表!G106)</f>
        <v/>
      </c>
      <c r="K106" t="str">
        <f>IF(策划表!H106="","",策划表!H106)</f>
        <v>我再去收集</v>
      </c>
      <c r="L106" t="str">
        <f t="shared" si="9"/>
        <v>t_director_option1_1102200</v>
      </c>
      <c r="M106">
        <f>IF(策划表!I106="","",策划表!I106)</f>
        <v>2</v>
      </c>
      <c r="N106" t="str">
        <f>IF(策划表!J106="","",策划表!J106)</f>
        <v/>
      </c>
      <c r="O106" t="str">
        <f>IF(策划表!K106="","",策划表!K106)</f>
        <v/>
      </c>
      <c r="P106" t="str">
        <f>IF(策划表!L106="","",策划表!L106)</f>
        <v/>
      </c>
      <c r="Q106" t="str">
        <f t="shared" si="10"/>
        <v>t_director_option2_1102200</v>
      </c>
      <c r="R106" t="str">
        <f>IF(策划表!M106="","",策划表!M106)</f>
        <v/>
      </c>
      <c r="S106" t="str">
        <f>IF(策划表!N106="","",策划表!N106)</f>
        <v/>
      </c>
      <c r="T106" t="str">
        <f>IF(策划表!O106="","",策划表!O106)</f>
        <v/>
      </c>
      <c r="U106" t="str">
        <f>IF(策划表!P106="","",策划表!P106)</f>
        <v/>
      </c>
      <c r="V106" t="str">
        <f t="shared" si="11"/>
        <v>t_director_option3_1102200</v>
      </c>
      <c r="W106" t="str">
        <f>IF(策划表!Q106="","",策划表!Q106)</f>
        <v/>
      </c>
      <c r="X106" t="str">
        <f>IF(策划表!R106="","",策划表!R106)</f>
        <v/>
      </c>
      <c r="Y106" t="str">
        <f>IF(策划表!S106="","",策划表!S106)</f>
        <v/>
      </c>
    </row>
    <row r="107" spans="1:25" x14ac:dyDescent="0.15">
      <c r="A107">
        <f>策划表!A107</f>
        <v>1102201</v>
      </c>
      <c r="B107" t="str">
        <f>IF(策划表!B107="","",策划表!B107)</f>
        <v>汉森</v>
      </c>
      <c r="C107" t="str">
        <f t="shared" si="6"/>
        <v>t_director_title_1102201</v>
      </c>
      <c r="D107" t="str">
        <f>IF(策划表!C107="","",策划表!C107)</f>
        <v>算你完成了。这些巫婆真是活该。</v>
      </c>
      <c r="E107" t="str">
        <f t="shared" si="7"/>
        <v>t_director_dialog_1102201</v>
      </c>
      <c r="F107" t="str">
        <f>IF(策划表!D107="","",策划表!D107)</f>
        <v>…</v>
      </c>
      <c r="G107" t="str">
        <f t="shared" si="8"/>
        <v>t_director_option0_1102201</v>
      </c>
      <c r="H107">
        <f>IF(策划表!E107="","",策划表!E107)</f>
        <v>1</v>
      </c>
      <c r="I107" t="str">
        <f>IF(策划表!F107="","",策划表!F107)</f>
        <v/>
      </c>
      <c r="J107" t="str">
        <f>IF(策划表!G107="","",策划表!G107)</f>
        <v/>
      </c>
      <c r="K107" t="str">
        <f>IF(策划表!H107="","",策划表!H107)</f>
        <v/>
      </c>
      <c r="L107" t="str">
        <f t="shared" si="9"/>
        <v>t_director_option1_1102201</v>
      </c>
      <c r="M107" t="str">
        <f>IF(策划表!I107="","",策划表!I107)</f>
        <v/>
      </c>
      <c r="N107" t="str">
        <f>IF(策划表!J107="","",策划表!J107)</f>
        <v/>
      </c>
      <c r="O107" t="str">
        <f>IF(策划表!K107="","",策划表!K107)</f>
        <v/>
      </c>
      <c r="P107" t="str">
        <f>IF(策划表!L107="","",策划表!L107)</f>
        <v/>
      </c>
      <c r="Q107" t="str">
        <f t="shared" si="10"/>
        <v>t_director_option2_1102201</v>
      </c>
      <c r="R107" t="str">
        <f>IF(策划表!M107="","",策划表!M107)</f>
        <v/>
      </c>
      <c r="S107" t="str">
        <f>IF(策划表!N107="","",策划表!N107)</f>
        <v/>
      </c>
      <c r="T107" t="str">
        <f>IF(策划表!O107="","",策划表!O107)</f>
        <v/>
      </c>
      <c r="U107" t="str">
        <f>IF(策划表!P107="","",策划表!P107)</f>
        <v/>
      </c>
      <c r="V107" t="str">
        <f t="shared" si="11"/>
        <v>t_director_option3_1102201</v>
      </c>
      <c r="W107" t="str">
        <f>IF(策划表!Q107="","",策划表!Q107)</f>
        <v/>
      </c>
      <c r="X107" t="str">
        <f>IF(策划表!R107="","",策划表!R107)</f>
        <v/>
      </c>
      <c r="Y107" t="str">
        <f>IF(策划表!S107="","",策划表!S107)</f>
        <v/>
      </c>
    </row>
    <row r="108" spans="1:25" x14ac:dyDescent="0.15">
      <c r="A108">
        <f>策划表!A108</f>
        <v>1102300</v>
      </c>
      <c r="B108" t="str">
        <f>IF(策划表!B108="","",策划表!B108)</f>
        <v>沃克</v>
      </c>
      <c r="C108" t="str">
        <f t="shared" si="6"/>
        <v>t_director_title_1102300</v>
      </c>
      <c r="D108" t="str">
        <f>IF(策划表!C108="","",策划表!C108)</f>
        <v>你是新加入刷子公会的冒险者？</v>
      </c>
      <c r="E108" t="str">
        <f t="shared" si="7"/>
        <v>t_director_dialog_1102300</v>
      </c>
      <c r="F108" t="str">
        <f>IF(策划表!D108="","",策划表!D108)</f>
        <v>是的</v>
      </c>
      <c r="G108" t="str">
        <f t="shared" si="8"/>
        <v>t_director_option0_1102300</v>
      </c>
      <c r="H108" t="str">
        <f>IF(策划表!E108="","",策划表!E108)</f>
        <v/>
      </c>
      <c r="I108">
        <f>IF(策划表!F108="","",策划表!F108)</f>
        <v>1102301</v>
      </c>
      <c r="J108" t="str">
        <f>IF(策划表!G108="","",策划表!G108)</f>
        <v/>
      </c>
      <c r="K108" t="str">
        <f>IF(策划表!H108="","",策划表!H108)</f>
        <v/>
      </c>
      <c r="L108" t="str">
        <f t="shared" si="9"/>
        <v>t_director_option1_1102300</v>
      </c>
      <c r="M108" t="str">
        <f>IF(策划表!I108="","",策划表!I108)</f>
        <v/>
      </c>
      <c r="N108" t="str">
        <f>IF(策划表!J108="","",策划表!J108)</f>
        <v/>
      </c>
      <c r="O108" t="str">
        <f>IF(策划表!K108="","",策划表!K108)</f>
        <v/>
      </c>
      <c r="P108" t="str">
        <f>IF(策划表!L108="","",策划表!L108)</f>
        <v/>
      </c>
      <c r="Q108" t="str">
        <f t="shared" si="10"/>
        <v>t_director_option2_1102300</v>
      </c>
      <c r="R108" t="str">
        <f>IF(策划表!M108="","",策划表!M108)</f>
        <v/>
      </c>
      <c r="S108" t="str">
        <f>IF(策划表!N108="","",策划表!N108)</f>
        <v/>
      </c>
      <c r="T108" t="str">
        <f>IF(策划表!O108="","",策划表!O108)</f>
        <v/>
      </c>
      <c r="U108" t="str">
        <f>IF(策划表!P108="","",策划表!P108)</f>
        <v/>
      </c>
      <c r="V108" t="str">
        <f t="shared" si="11"/>
        <v>t_director_option3_1102300</v>
      </c>
      <c r="W108" t="str">
        <f>IF(策划表!Q108="","",策划表!Q108)</f>
        <v/>
      </c>
      <c r="X108" t="str">
        <f>IF(策划表!R108="","",策划表!R108)</f>
        <v/>
      </c>
      <c r="Y108" t="str">
        <f>IF(策划表!S108="","",策划表!S108)</f>
        <v/>
      </c>
    </row>
    <row r="109" spans="1:25" x14ac:dyDescent="0.15">
      <c r="A109">
        <f>策划表!A109</f>
        <v>1102301</v>
      </c>
      <c r="B109" t="str">
        <f>IF(策划表!B109="","",策划表!B109)</f>
        <v>沃克</v>
      </c>
      <c r="C109" t="str">
        <f t="shared" si="6"/>
        <v>t_director_title_1102301</v>
      </c>
      <c r="D109" t="str">
        <f>IF(策划表!C109="","",策划表!C109)</f>
        <v>我是银月矿产资源的幕僚长，北方的山脉被哥布林占领，导致城内没有铁资源采集，我来侦查情况。</v>
      </c>
      <c r="E109" t="str">
        <f t="shared" si="7"/>
        <v>t_director_dialog_1102301</v>
      </c>
      <c r="F109" t="str">
        <f>IF(策划表!D109="","",策划表!D109)</f>
        <v>…</v>
      </c>
      <c r="G109" t="str">
        <f t="shared" si="8"/>
        <v>t_director_option0_1102301</v>
      </c>
      <c r="H109" t="str">
        <f>IF(策划表!E109="","",策划表!E109)</f>
        <v/>
      </c>
      <c r="I109">
        <f>IF(策划表!F109="","",策划表!F109)</f>
        <v>1102302</v>
      </c>
      <c r="J109" t="str">
        <f>IF(策划表!G109="","",策划表!G109)</f>
        <v/>
      </c>
      <c r="K109" t="str">
        <f>IF(策划表!H109="","",策划表!H109)</f>
        <v/>
      </c>
      <c r="L109" t="str">
        <f t="shared" si="9"/>
        <v>t_director_option1_1102301</v>
      </c>
      <c r="M109" t="str">
        <f>IF(策划表!I109="","",策划表!I109)</f>
        <v/>
      </c>
      <c r="N109" t="str">
        <f>IF(策划表!J109="","",策划表!J109)</f>
        <v/>
      </c>
      <c r="O109" t="str">
        <f>IF(策划表!K109="","",策划表!K109)</f>
        <v/>
      </c>
      <c r="P109" t="str">
        <f>IF(策划表!L109="","",策划表!L109)</f>
        <v/>
      </c>
      <c r="Q109" t="str">
        <f t="shared" si="10"/>
        <v>t_director_option2_1102301</v>
      </c>
      <c r="R109" t="str">
        <f>IF(策划表!M109="","",策划表!M109)</f>
        <v/>
      </c>
      <c r="S109" t="str">
        <f>IF(策划表!N109="","",策划表!N109)</f>
        <v/>
      </c>
      <c r="T109" t="str">
        <f>IF(策划表!O109="","",策划表!O109)</f>
        <v/>
      </c>
      <c r="U109" t="str">
        <f>IF(策划表!P109="","",策划表!P109)</f>
        <v/>
      </c>
      <c r="V109" t="str">
        <f t="shared" si="11"/>
        <v>t_director_option3_1102301</v>
      </c>
      <c r="W109" t="str">
        <f>IF(策划表!Q109="","",策划表!Q109)</f>
        <v/>
      </c>
      <c r="X109" t="str">
        <f>IF(策划表!R109="","",策划表!R109)</f>
        <v/>
      </c>
      <c r="Y109" t="str">
        <f>IF(策划表!S109="","",策划表!S109)</f>
        <v/>
      </c>
    </row>
    <row r="110" spans="1:25" x14ac:dyDescent="0.15">
      <c r="A110">
        <f>策划表!A110</f>
        <v>1102302</v>
      </c>
      <c r="B110" t="str">
        <f>IF(策划表!B110="","",策划表!B110)</f>
        <v>沃克</v>
      </c>
      <c r="C110" t="str">
        <f t="shared" si="6"/>
        <v>t_director_title_1102302</v>
      </c>
      <c r="D110" t="str">
        <f>IF(策划表!C110="","",策划表!C110)</f>
        <v>西方有盗贼，他们身上肯定有很多铁矿，你若果有铁矿，交给我，我有很多对你有益的任务。</v>
      </c>
      <c r="E110" t="str">
        <f t="shared" si="7"/>
        <v>t_director_dialog_1102302</v>
      </c>
      <c r="F110" t="str">
        <f>IF(策划表!D110="","",策划表!D110)</f>
        <v>好的</v>
      </c>
      <c r="G110" t="str">
        <f t="shared" si="8"/>
        <v>t_director_option0_1102302</v>
      </c>
      <c r="H110">
        <f>IF(策划表!E110="","",策划表!E110)</f>
        <v>1</v>
      </c>
      <c r="I110" t="str">
        <f>IF(策划表!F110="","",策划表!F110)</f>
        <v/>
      </c>
      <c r="J110" t="str">
        <f>IF(策划表!G110="","",策划表!G110)</f>
        <v/>
      </c>
      <c r="K110" t="str">
        <f>IF(策划表!H110="","",策划表!H110)</f>
        <v>我去猎取</v>
      </c>
      <c r="L110" t="str">
        <f t="shared" si="9"/>
        <v>t_director_option1_1102302</v>
      </c>
      <c r="M110">
        <f>IF(策划表!I110="","",策划表!I110)</f>
        <v>2</v>
      </c>
      <c r="N110" t="str">
        <f>IF(策划表!J110="","",策划表!J110)</f>
        <v/>
      </c>
      <c r="O110" t="str">
        <f>IF(策划表!K110="","",策划表!K110)</f>
        <v/>
      </c>
      <c r="P110" t="str">
        <f>IF(策划表!L110="","",策划表!L110)</f>
        <v/>
      </c>
      <c r="Q110" t="str">
        <f t="shared" si="10"/>
        <v>t_director_option2_1102302</v>
      </c>
      <c r="R110" t="str">
        <f>IF(策划表!M110="","",策划表!M110)</f>
        <v/>
      </c>
      <c r="S110" t="str">
        <f>IF(策划表!N110="","",策划表!N110)</f>
        <v/>
      </c>
      <c r="T110" t="str">
        <f>IF(策划表!O110="","",策划表!O110)</f>
        <v/>
      </c>
      <c r="U110" t="str">
        <f>IF(策划表!P110="","",策划表!P110)</f>
        <v/>
      </c>
      <c r="V110" t="str">
        <f t="shared" si="11"/>
        <v>t_director_option3_1102302</v>
      </c>
      <c r="W110" t="str">
        <f>IF(策划表!Q110="","",策划表!Q110)</f>
        <v/>
      </c>
      <c r="X110" t="str">
        <f>IF(策划表!R110="","",策划表!R110)</f>
        <v/>
      </c>
      <c r="Y110" t="str">
        <f>IF(策划表!S110="","",策划表!S110)</f>
        <v/>
      </c>
    </row>
    <row r="111" spans="1:25" x14ac:dyDescent="0.15">
      <c r="A111">
        <f>策划表!A111</f>
        <v>1102310</v>
      </c>
      <c r="B111" t="str">
        <f>IF(策划表!B111="","",策划表!B111)</f>
        <v>沃克</v>
      </c>
      <c r="C111" t="str">
        <f t="shared" si="6"/>
        <v>t_director_title_1102310</v>
      </c>
      <c r="D111" t="str">
        <f>IF(策划表!C111="","",策划表!C111)</f>
        <v>你有铁矿交给我吗？</v>
      </c>
      <c r="E111" t="str">
        <f t="shared" si="7"/>
        <v>t_director_dialog_1102310</v>
      </c>
      <c r="F111" t="str">
        <f>IF(策划表!D111="","",策划表!D111)</f>
        <v>交纳铁矿</v>
      </c>
      <c r="G111" t="str">
        <f t="shared" si="8"/>
        <v>t_director_option0_1102310</v>
      </c>
      <c r="H111">
        <f>IF(策划表!E111="","",策划表!E111)</f>
        <v>1</v>
      </c>
      <c r="I111">
        <f>IF(策划表!F111="","",策划表!F111)</f>
        <v>1102311</v>
      </c>
      <c r="J111" t="str">
        <f>IF(策划表!G111="","",策划表!G111)</f>
        <v/>
      </c>
      <c r="K111" t="str">
        <f>IF(策划表!H111="","",策划表!H111)</f>
        <v/>
      </c>
      <c r="L111" t="str">
        <f t="shared" si="9"/>
        <v>t_director_option1_1102310</v>
      </c>
      <c r="M111" t="str">
        <f>IF(策划表!I111="","",策划表!I111)</f>
        <v/>
      </c>
      <c r="N111" t="str">
        <f>IF(策划表!J111="","",策划表!J111)</f>
        <v/>
      </c>
      <c r="O111" t="str">
        <f>IF(策划表!K111="","",策划表!K111)</f>
        <v/>
      </c>
      <c r="P111" t="str">
        <f>IF(策划表!L111="","",策划表!L111)</f>
        <v/>
      </c>
      <c r="Q111" t="str">
        <f t="shared" si="10"/>
        <v>t_director_option2_1102310</v>
      </c>
      <c r="R111" t="str">
        <f>IF(策划表!M111="","",策划表!M111)</f>
        <v/>
      </c>
      <c r="S111" t="str">
        <f>IF(策划表!N111="","",策划表!N111)</f>
        <v/>
      </c>
      <c r="T111" t="str">
        <f>IF(策划表!O111="","",策划表!O111)</f>
        <v/>
      </c>
      <c r="U111" t="str">
        <f>IF(策划表!P111="","",策划表!P111)</f>
        <v/>
      </c>
      <c r="V111" t="str">
        <f t="shared" si="11"/>
        <v>t_director_option3_1102310</v>
      </c>
      <c r="W111" t="str">
        <f>IF(策划表!Q111="","",策划表!Q111)</f>
        <v/>
      </c>
      <c r="X111" t="str">
        <f>IF(策划表!R111="","",策划表!R111)</f>
        <v/>
      </c>
      <c r="Y111" t="str">
        <f>IF(策划表!S111="","",策划表!S111)</f>
        <v/>
      </c>
    </row>
    <row r="112" spans="1:25" x14ac:dyDescent="0.15">
      <c r="A112">
        <f>策划表!A112</f>
        <v>1102311</v>
      </c>
      <c r="B112" t="str">
        <f>IF(策划表!B112="","",策划表!B112)</f>
        <v>沃克</v>
      </c>
      <c r="C112" t="str">
        <f t="shared" si="6"/>
        <v>t_director_title_1102311</v>
      </c>
      <c r="D112" t="str">
        <f>IF(策划表!C112="","",策划表!C112)</f>
        <v>城镇外围有很多游荡的渔民，他们很被塞壬的歌声迷惑，已经没有救了。</v>
      </c>
      <c r="E112" t="str">
        <f t="shared" si="7"/>
        <v>t_director_dialog_1102311</v>
      </c>
      <c r="F112" t="str">
        <f>IF(策划表!D112="","",策划表!D112)</f>
        <v>…</v>
      </c>
      <c r="G112" t="str">
        <f t="shared" si="8"/>
        <v>t_director_option0_1102311</v>
      </c>
      <c r="H112" t="str">
        <f>IF(策划表!E112="","",策划表!E112)</f>
        <v/>
      </c>
      <c r="I112">
        <f>IF(策划表!F112="","",策划表!F112)</f>
        <v>1102312</v>
      </c>
      <c r="J112" t="str">
        <f>IF(策划表!G112="","",策划表!G112)</f>
        <v/>
      </c>
      <c r="K112" t="str">
        <f>IF(策划表!H112="","",策划表!H112)</f>
        <v/>
      </c>
      <c r="L112" t="str">
        <f t="shared" si="9"/>
        <v>t_director_option1_1102311</v>
      </c>
      <c r="M112" t="str">
        <f>IF(策划表!I112="","",策划表!I112)</f>
        <v/>
      </c>
      <c r="N112" t="str">
        <f>IF(策划表!J112="","",策划表!J112)</f>
        <v/>
      </c>
      <c r="O112" t="str">
        <f>IF(策划表!K112="","",策划表!K112)</f>
        <v/>
      </c>
      <c r="P112" t="str">
        <f>IF(策划表!L112="","",策划表!L112)</f>
        <v/>
      </c>
      <c r="Q112" t="str">
        <f t="shared" si="10"/>
        <v>t_director_option2_1102311</v>
      </c>
      <c r="R112" t="str">
        <f>IF(策划表!M112="","",策划表!M112)</f>
        <v/>
      </c>
      <c r="S112" t="str">
        <f>IF(策划表!N112="","",策划表!N112)</f>
        <v/>
      </c>
      <c r="T112" t="str">
        <f>IF(策划表!O112="","",策划表!O112)</f>
        <v/>
      </c>
      <c r="U112" t="str">
        <f>IF(策划表!P112="","",策划表!P112)</f>
        <v/>
      </c>
      <c r="V112" t="str">
        <f t="shared" si="11"/>
        <v>t_director_option3_1102311</v>
      </c>
      <c r="W112" t="str">
        <f>IF(策划表!Q112="","",策划表!Q112)</f>
        <v/>
      </c>
      <c r="X112" t="str">
        <f>IF(策划表!R112="","",策划表!R112)</f>
        <v/>
      </c>
      <c r="Y112" t="str">
        <f>IF(策划表!S112="","",策划表!S112)</f>
        <v/>
      </c>
    </row>
    <row r="113" spans="1:25" x14ac:dyDescent="0.15">
      <c r="A113">
        <f>策划表!A113</f>
        <v>1102312</v>
      </c>
      <c r="B113" t="str">
        <f>IF(策划表!B113="","",策划表!B113)</f>
        <v>沃克</v>
      </c>
      <c r="C113" t="str">
        <f t="shared" si="6"/>
        <v>t_director_title_1102312</v>
      </c>
      <c r="D113" t="str">
        <f>IF(策划表!C113="","",策划表!C113)</f>
        <v>你能讨伐了他们，帮我们开一条回城的路出来吗？</v>
      </c>
      <c r="E113" t="str">
        <f t="shared" si="7"/>
        <v>t_director_dialog_1102312</v>
      </c>
      <c r="F113" t="str">
        <f>IF(策划表!D113="","",策划表!D113)</f>
        <v>好的</v>
      </c>
      <c r="G113" t="str">
        <f t="shared" si="8"/>
        <v>t_director_option0_1102312</v>
      </c>
      <c r="H113">
        <f>IF(策划表!E113="","",策划表!E113)</f>
        <v>1</v>
      </c>
      <c r="I113" t="str">
        <f>IF(策划表!F113="","",策划表!F113)</f>
        <v/>
      </c>
      <c r="J113" t="str">
        <f>IF(策划表!G113="","",策划表!G113)</f>
        <v/>
      </c>
      <c r="K113" t="str">
        <f>IF(策划表!H113="","",策划表!H113)</f>
        <v/>
      </c>
      <c r="L113" t="str">
        <f t="shared" si="9"/>
        <v>t_director_option1_1102312</v>
      </c>
      <c r="M113" t="str">
        <f>IF(策划表!I113="","",策划表!I113)</f>
        <v/>
      </c>
      <c r="N113" t="str">
        <f>IF(策划表!J113="","",策划表!J113)</f>
        <v/>
      </c>
      <c r="O113" t="str">
        <f>IF(策划表!K113="","",策划表!K113)</f>
        <v/>
      </c>
      <c r="P113" t="str">
        <f>IF(策划表!L113="","",策划表!L113)</f>
        <v/>
      </c>
      <c r="Q113" t="str">
        <f t="shared" si="10"/>
        <v>t_director_option2_1102312</v>
      </c>
      <c r="R113" t="str">
        <f>IF(策划表!M113="","",策划表!M113)</f>
        <v/>
      </c>
      <c r="S113" t="str">
        <f>IF(策划表!N113="","",策划表!N113)</f>
        <v/>
      </c>
      <c r="T113" t="str">
        <f>IF(策划表!O113="","",策划表!O113)</f>
        <v/>
      </c>
      <c r="U113" t="str">
        <f>IF(策划表!P113="","",策划表!P113)</f>
        <v/>
      </c>
      <c r="V113" t="str">
        <f t="shared" si="11"/>
        <v>t_director_option3_1102312</v>
      </c>
      <c r="W113" t="str">
        <f>IF(策划表!Q113="","",策划表!Q113)</f>
        <v/>
      </c>
      <c r="X113" t="str">
        <f>IF(策划表!R113="","",策划表!R113)</f>
        <v/>
      </c>
      <c r="Y113" t="str">
        <f>IF(策划表!S113="","",策划表!S113)</f>
        <v/>
      </c>
    </row>
    <row r="114" spans="1:25" x14ac:dyDescent="0.15">
      <c r="A114">
        <f>策划表!A114</f>
        <v>1102350</v>
      </c>
      <c r="B114" t="str">
        <f>IF(策划表!B114="","",策划表!B114)</f>
        <v>沃克</v>
      </c>
      <c r="C114" t="str">
        <f t="shared" si="6"/>
        <v>t_director_title_1102350</v>
      </c>
      <c r="D114" t="str">
        <f>IF(策划表!C114="","",策划表!C114)</f>
        <v>阁下，你讨伐掉那帮渔夫了么？</v>
      </c>
      <c r="E114" t="str">
        <f t="shared" si="7"/>
        <v>t_director_dialog_1102350</v>
      </c>
      <c r="F114" t="str">
        <f>IF(策划表!D114="","",策划表!D114)</f>
        <v>已经完成了</v>
      </c>
      <c r="G114" t="str">
        <f t="shared" si="8"/>
        <v>t_director_option0_1102350</v>
      </c>
      <c r="H114" t="str">
        <f>IF(策划表!E114="","",策划表!E114)</f>
        <v/>
      </c>
      <c r="I114">
        <f>IF(策划表!F114="","",策划表!F114)</f>
        <v>1102351</v>
      </c>
      <c r="J114" t="str">
        <f>IF(策划表!G114="","",策划表!G114)</f>
        <v/>
      </c>
      <c r="K114" t="str">
        <f>IF(策划表!H114="","",策划表!H114)</f>
        <v>我去猎取</v>
      </c>
      <c r="L114" t="str">
        <f t="shared" si="9"/>
        <v>t_director_option1_1102350</v>
      </c>
      <c r="M114">
        <f>IF(策划表!I114="","",策划表!I114)</f>
        <v>2</v>
      </c>
      <c r="N114" t="str">
        <f>IF(策划表!J114="","",策划表!J114)</f>
        <v/>
      </c>
      <c r="O114" t="str">
        <f>IF(策划表!K114="","",策划表!K114)</f>
        <v/>
      </c>
      <c r="P114" t="str">
        <f>IF(策划表!L114="","",策划表!L114)</f>
        <v/>
      </c>
      <c r="Q114" t="str">
        <f t="shared" si="10"/>
        <v>t_director_option2_1102350</v>
      </c>
      <c r="R114" t="str">
        <f>IF(策划表!M114="","",策划表!M114)</f>
        <v/>
      </c>
      <c r="S114" t="str">
        <f>IF(策划表!N114="","",策划表!N114)</f>
        <v/>
      </c>
      <c r="T114" t="str">
        <f>IF(策划表!O114="","",策划表!O114)</f>
        <v/>
      </c>
      <c r="U114" t="str">
        <f>IF(策划表!P114="","",策划表!P114)</f>
        <v/>
      </c>
      <c r="V114" t="str">
        <f t="shared" si="11"/>
        <v>t_director_option3_1102350</v>
      </c>
      <c r="W114" t="str">
        <f>IF(策划表!Q114="","",策划表!Q114)</f>
        <v/>
      </c>
      <c r="X114" t="str">
        <f>IF(策划表!R114="","",策划表!R114)</f>
        <v/>
      </c>
      <c r="Y114" t="str">
        <f>IF(策划表!S114="","",策划表!S114)</f>
        <v/>
      </c>
    </row>
    <row r="115" spans="1:25" x14ac:dyDescent="0.15">
      <c r="A115">
        <f>策划表!A115</f>
        <v>1102351</v>
      </c>
      <c r="B115" t="str">
        <f>IF(策划表!B115="","",策划表!B115)</f>
        <v>沃克</v>
      </c>
      <c r="C115" t="str">
        <f t="shared" si="6"/>
        <v>t_director_title_1102351</v>
      </c>
      <c r="D115" t="str">
        <f>IF(策划表!C115="","",策划表!C115)</f>
        <v>可怜的渔夫，塞壬夜里经常会高歌，在海边的渔夫听到就会被迷惑。</v>
      </c>
      <c r="E115" t="str">
        <f t="shared" si="7"/>
        <v>t_director_dialog_1102351</v>
      </c>
      <c r="F115" t="str">
        <f>IF(策划表!D115="","",策划表!D115)</f>
        <v>…</v>
      </c>
      <c r="G115" t="str">
        <f t="shared" si="8"/>
        <v>t_director_option0_1102351</v>
      </c>
      <c r="H115" t="str">
        <f>IF(策划表!E115="","",策划表!E115)</f>
        <v/>
      </c>
      <c r="I115">
        <f>IF(策划表!F115="","",策划表!F115)</f>
        <v>1102352</v>
      </c>
      <c r="J115" t="str">
        <f>IF(策划表!G115="","",策划表!G115)</f>
        <v/>
      </c>
      <c r="K115" t="str">
        <f>IF(策划表!H115="","",策划表!H115)</f>
        <v/>
      </c>
      <c r="L115" t="str">
        <f t="shared" si="9"/>
        <v>t_director_option1_1102351</v>
      </c>
      <c r="M115" t="str">
        <f>IF(策划表!I115="","",策划表!I115)</f>
        <v/>
      </c>
      <c r="N115" t="str">
        <f>IF(策划表!J115="","",策划表!J115)</f>
        <v/>
      </c>
      <c r="O115" t="str">
        <f>IF(策划表!K115="","",策划表!K115)</f>
        <v/>
      </c>
      <c r="P115" t="str">
        <f>IF(策划表!L115="","",策划表!L115)</f>
        <v/>
      </c>
      <c r="Q115" t="str">
        <f t="shared" si="10"/>
        <v>t_director_option2_1102351</v>
      </c>
      <c r="R115" t="str">
        <f>IF(策划表!M115="","",策划表!M115)</f>
        <v/>
      </c>
      <c r="S115" t="str">
        <f>IF(策划表!N115="","",策划表!N115)</f>
        <v/>
      </c>
      <c r="T115" t="str">
        <f>IF(策划表!O115="","",策划表!O115)</f>
        <v/>
      </c>
      <c r="U115" t="str">
        <f>IF(策划表!P115="","",策划表!P115)</f>
        <v/>
      </c>
      <c r="V115" t="str">
        <f t="shared" si="11"/>
        <v>t_director_option3_1102351</v>
      </c>
      <c r="W115" t="str">
        <f>IF(策划表!Q115="","",策划表!Q115)</f>
        <v/>
      </c>
      <c r="X115" t="str">
        <f>IF(策划表!R115="","",策划表!R115)</f>
        <v/>
      </c>
      <c r="Y115" t="str">
        <f>IF(策划表!S115="","",策划表!S115)</f>
        <v/>
      </c>
    </row>
    <row r="116" spans="1:25" x14ac:dyDescent="0.15">
      <c r="A116">
        <f>策划表!A116</f>
        <v>1102352</v>
      </c>
      <c r="B116" t="str">
        <f>IF(策划表!B116="","",策划表!B116)</f>
        <v>沃克</v>
      </c>
      <c r="C116" t="str">
        <f t="shared" si="6"/>
        <v>t_director_title_1102352</v>
      </c>
      <c r="D116" t="str">
        <f>IF(策划表!C116="","",策划表!C116)</f>
        <v>对了，阁下，渔夫拿有武器，阁下能回收他们的武器吗？</v>
      </c>
      <c r="E116" t="str">
        <f t="shared" si="7"/>
        <v>t_director_dialog_1102352</v>
      </c>
      <c r="F116" t="str">
        <f>IF(策划表!D116="","",策划表!D116)</f>
        <v>好的</v>
      </c>
      <c r="G116" t="str">
        <f t="shared" si="8"/>
        <v>t_director_option0_1102352</v>
      </c>
      <c r="H116">
        <f>IF(策划表!E116="","",策划表!E116)</f>
        <v>1</v>
      </c>
      <c r="I116" t="str">
        <f>IF(策划表!F116="","",策划表!F116)</f>
        <v/>
      </c>
      <c r="J116" t="str">
        <f>IF(策划表!G116="","",策划表!G116)</f>
        <v/>
      </c>
      <c r="K116" t="str">
        <f>IF(策划表!H116="","",策划表!H116)</f>
        <v/>
      </c>
      <c r="L116" t="str">
        <f t="shared" si="9"/>
        <v>t_director_option1_1102352</v>
      </c>
      <c r="M116" t="str">
        <f>IF(策划表!I116="","",策划表!I116)</f>
        <v/>
      </c>
      <c r="N116" t="str">
        <f>IF(策划表!J116="","",策划表!J116)</f>
        <v/>
      </c>
      <c r="O116" t="str">
        <f>IF(策划表!K116="","",策划表!K116)</f>
        <v/>
      </c>
      <c r="P116" t="str">
        <f>IF(策划表!L116="","",策划表!L116)</f>
        <v/>
      </c>
      <c r="Q116" t="str">
        <f t="shared" si="10"/>
        <v>t_director_option2_1102352</v>
      </c>
      <c r="R116" t="str">
        <f>IF(策划表!M116="","",策划表!M116)</f>
        <v/>
      </c>
      <c r="S116" t="str">
        <f>IF(策划表!N116="","",策划表!N116)</f>
        <v/>
      </c>
      <c r="T116" t="str">
        <f>IF(策划表!O116="","",策划表!O116)</f>
        <v/>
      </c>
      <c r="U116" t="str">
        <f>IF(策划表!P116="","",策划表!P116)</f>
        <v/>
      </c>
      <c r="V116" t="str">
        <f t="shared" si="11"/>
        <v>t_director_option3_1102352</v>
      </c>
      <c r="W116" t="str">
        <f>IF(策划表!Q116="","",策划表!Q116)</f>
        <v/>
      </c>
      <c r="X116" t="str">
        <f>IF(策划表!R116="","",策划表!R116)</f>
        <v/>
      </c>
      <c r="Y116" t="str">
        <f>IF(策划表!S116="","",策划表!S116)</f>
        <v/>
      </c>
    </row>
    <row r="117" spans="1:25" x14ac:dyDescent="0.15">
      <c r="A117">
        <f>策划表!A117</f>
        <v>1102400</v>
      </c>
      <c r="B117" t="str">
        <f>IF(策划表!B117="","",策划表!B117)</f>
        <v>沃克</v>
      </c>
      <c r="C117" t="str">
        <f t="shared" si="6"/>
        <v>t_director_title_1102400</v>
      </c>
      <c r="D117" t="str">
        <f>IF(策划表!C117="","",策划表!C117)</f>
        <v>你回收他们的武器了吗？</v>
      </c>
      <c r="E117" t="str">
        <f t="shared" si="7"/>
        <v>t_director_dialog_1102400</v>
      </c>
      <c r="F117" t="str">
        <f>IF(策划表!D117="","",策划表!D117)</f>
        <v>已经回收了</v>
      </c>
      <c r="G117" t="str">
        <f t="shared" si="8"/>
        <v>t_director_option0_1102400</v>
      </c>
      <c r="H117">
        <f>IF(策划表!E117="","",策划表!E117)</f>
        <v>1</v>
      </c>
      <c r="I117">
        <f>IF(策划表!F117="","",策划表!F117)</f>
        <v>1102401</v>
      </c>
      <c r="J117" t="str">
        <f>IF(策划表!G117="","",策划表!G117)</f>
        <v/>
      </c>
      <c r="K117" t="str">
        <f>IF(策划表!H117="","",策划表!H117)</f>
        <v>我再去狩猎</v>
      </c>
      <c r="L117" t="str">
        <f t="shared" si="9"/>
        <v>t_director_option1_1102400</v>
      </c>
      <c r="M117">
        <f>IF(策划表!I117="","",策划表!I117)</f>
        <v>2</v>
      </c>
      <c r="N117" t="str">
        <f>IF(策划表!J117="","",策划表!J117)</f>
        <v/>
      </c>
      <c r="O117" t="str">
        <f>IF(策划表!K117="","",策划表!K117)</f>
        <v/>
      </c>
      <c r="P117" t="str">
        <f>IF(策划表!L117="","",策划表!L117)</f>
        <v/>
      </c>
      <c r="Q117" t="str">
        <f t="shared" si="10"/>
        <v>t_director_option2_1102400</v>
      </c>
      <c r="R117" t="str">
        <f>IF(策划表!M117="","",策划表!M117)</f>
        <v/>
      </c>
      <c r="S117" t="str">
        <f>IF(策划表!N117="","",策划表!N117)</f>
        <v/>
      </c>
      <c r="T117" t="str">
        <f>IF(策划表!O117="","",策划表!O117)</f>
        <v/>
      </c>
      <c r="U117" t="str">
        <f>IF(策划表!P117="","",策划表!P117)</f>
        <v/>
      </c>
      <c r="V117" t="str">
        <f t="shared" si="11"/>
        <v>t_director_option3_1102400</v>
      </c>
      <c r="W117" t="str">
        <f>IF(策划表!Q117="","",策划表!Q117)</f>
        <v/>
      </c>
      <c r="X117" t="str">
        <f>IF(策划表!R117="","",策划表!R117)</f>
        <v/>
      </c>
      <c r="Y117" t="str">
        <f>IF(策划表!S117="","",策划表!S117)</f>
        <v/>
      </c>
    </row>
    <row r="118" spans="1:25" x14ac:dyDescent="0.15">
      <c r="A118">
        <f>策划表!A118</f>
        <v>1102401</v>
      </c>
      <c r="B118" t="str">
        <f>IF(策划表!B118="","",策划表!B118)</f>
        <v>沃克</v>
      </c>
      <c r="C118" t="str">
        <f t="shared" si="6"/>
        <v>t_director_title_1102401</v>
      </c>
      <c r="D118" t="str">
        <f>IF(策划表!C118="","",策划表!C118)</f>
        <v>多谢阁下，这些稍微能缓解一下紧急的情况了。</v>
      </c>
      <c r="E118" t="str">
        <f t="shared" si="7"/>
        <v>t_director_dialog_1102401</v>
      </c>
      <c r="F118" t="str">
        <f>IF(策划表!D118="","",策划表!D118)</f>
        <v>离开</v>
      </c>
      <c r="G118" t="str">
        <f t="shared" si="8"/>
        <v>t_director_option0_1102401</v>
      </c>
      <c r="H118">
        <f>IF(策划表!E118="","",策划表!E118)</f>
        <v>2</v>
      </c>
      <c r="I118" t="str">
        <f>IF(策划表!F118="","",策划表!F118)</f>
        <v/>
      </c>
      <c r="J118" t="str">
        <f>IF(策划表!G118="","",策划表!G118)</f>
        <v/>
      </c>
      <c r="K118" t="str">
        <f>IF(策划表!H118="","",策划表!H118)</f>
        <v/>
      </c>
      <c r="L118" t="str">
        <f t="shared" si="9"/>
        <v>t_director_option1_1102401</v>
      </c>
      <c r="M118" t="str">
        <f>IF(策划表!I118="","",策划表!I118)</f>
        <v/>
      </c>
      <c r="N118" t="str">
        <f>IF(策划表!J118="","",策划表!J118)</f>
        <v/>
      </c>
      <c r="O118" t="str">
        <f>IF(策划表!K118="","",策划表!K118)</f>
        <v/>
      </c>
      <c r="P118" t="str">
        <f>IF(策划表!L118="","",策划表!L118)</f>
        <v/>
      </c>
      <c r="Q118" t="str">
        <f t="shared" si="10"/>
        <v>t_director_option2_1102401</v>
      </c>
      <c r="R118" t="str">
        <f>IF(策划表!M118="","",策划表!M118)</f>
        <v/>
      </c>
      <c r="S118" t="str">
        <f>IF(策划表!N118="","",策划表!N118)</f>
        <v/>
      </c>
      <c r="T118" t="str">
        <f>IF(策划表!O118="","",策划表!O118)</f>
        <v/>
      </c>
      <c r="U118" t="str">
        <f>IF(策划表!P118="","",策划表!P118)</f>
        <v/>
      </c>
      <c r="V118" t="str">
        <f t="shared" si="11"/>
        <v>t_director_option3_1102401</v>
      </c>
      <c r="W118" t="str">
        <f>IF(策划表!Q118="","",策划表!Q118)</f>
        <v/>
      </c>
      <c r="X118" t="str">
        <f>IF(策划表!R118="","",策划表!R118)</f>
        <v/>
      </c>
      <c r="Y118" t="str">
        <f>IF(策划表!S118="","",策划表!S118)</f>
        <v/>
      </c>
    </row>
    <row r="119" spans="1:25" x14ac:dyDescent="0.15">
      <c r="A119">
        <f>策划表!A119</f>
        <v>1102410</v>
      </c>
      <c r="B119" t="str">
        <f>IF(策划表!B119="","",策划表!B119)</f>
        <v>沃克</v>
      </c>
      <c r="C119" t="str">
        <f t="shared" si="6"/>
        <v>t_director_title_1102410</v>
      </c>
      <c r="D119" t="str">
        <f>IF(策划表!C119="","",策划表!C119)</f>
        <v>阁下，你能这么轻松的回收这么多武器，我想，有一个任务阁下，一定能完成。</v>
      </c>
      <c r="E119" t="str">
        <f t="shared" si="7"/>
        <v>t_director_dialog_1102410</v>
      </c>
      <c r="F119" t="str">
        <f>IF(策划表!D119="","",策划表!D119)</f>
        <v>…</v>
      </c>
      <c r="G119" t="str">
        <f t="shared" si="8"/>
        <v>t_director_option0_1102410</v>
      </c>
      <c r="H119" t="str">
        <f>IF(策划表!E119="","",策划表!E119)</f>
        <v/>
      </c>
      <c r="I119">
        <f>IF(策划表!F119="","",策划表!F119)</f>
        <v>1102411</v>
      </c>
      <c r="J119" t="str">
        <f>IF(策划表!G119="","",策划表!G119)</f>
        <v/>
      </c>
      <c r="K119" t="str">
        <f>IF(策划表!H119="","",策划表!H119)</f>
        <v/>
      </c>
      <c r="L119" t="str">
        <f t="shared" si="9"/>
        <v>t_director_option1_1102410</v>
      </c>
      <c r="M119" t="str">
        <f>IF(策划表!I119="","",策划表!I119)</f>
        <v/>
      </c>
      <c r="N119" t="str">
        <f>IF(策划表!J119="","",策划表!J119)</f>
        <v/>
      </c>
      <c r="O119" t="str">
        <f>IF(策划表!K119="","",策划表!K119)</f>
        <v/>
      </c>
      <c r="P119" t="str">
        <f>IF(策划表!L119="","",策划表!L119)</f>
        <v/>
      </c>
      <c r="Q119" t="str">
        <f t="shared" si="10"/>
        <v>t_director_option2_1102410</v>
      </c>
      <c r="R119" t="str">
        <f>IF(策划表!M119="","",策划表!M119)</f>
        <v/>
      </c>
      <c r="S119" t="str">
        <f>IF(策划表!N119="","",策划表!N119)</f>
        <v/>
      </c>
      <c r="T119" t="str">
        <f>IF(策划表!O119="","",策划表!O119)</f>
        <v/>
      </c>
      <c r="U119" t="str">
        <f>IF(策划表!P119="","",策划表!P119)</f>
        <v/>
      </c>
      <c r="V119" t="str">
        <f t="shared" si="11"/>
        <v>t_director_option3_1102410</v>
      </c>
      <c r="W119" t="str">
        <f>IF(策划表!Q119="","",策划表!Q119)</f>
        <v/>
      </c>
      <c r="X119" t="str">
        <f>IF(策划表!R119="","",策划表!R119)</f>
        <v/>
      </c>
      <c r="Y119" t="str">
        <f>IF(策划表!S119="","",策划表!S119)</f>
        <v/>
      </c>
    </row>
    <row r="120" spans="1:25" x14ac:dyDescent="0.15">
      <c r="A120">
        <f>策划表!A120</f>
        <v>1102411</v>
      </c>
      <c r="B120" t="str">
        <f>IF(策划表!B120="","",策划表!B120)</f>
        <v>沃克</v>
      </c>
      <c r="C120" t="str">
        <f t="shared" si="6"/>
        <v>t_director_title_1102411</v>
      </c>
      <c r="D120" t="str">
        <f>IF(策划表!C120="","",策划表!C120)</f>
        <v>哥布林族的狂战士在北方48.63周围，阁下如果有他的兽皮，那我还有个任务，交给阁下。</v>
      </c>
      <c r="E120" t="str">
        <f t="shared" si="7"/>
        <v>t_director_dialog_1102411</v>
      </c>
      <c r="F120" t="str">
        <f>IF(策划表!D120="","",策划表!D120)</f>
        <v>我去猎取</v>
      </c>
      <c r="G120" t="str">
        <f t="shared" si="8"/>
        <v>t_director_option0_1102411</v>
      </c>
      <c r="H120">
        <f>IF(策划表!E120="","",策划表!E120)</f>
        <v>1</v>
      </c>
      <c r="I120" t="str">
        <f>IF(策划表!F120="","",策划表!F120)</f>
        <v/>
      </c>
      <c r="J120" t="str">
        <f>IF(策划表!G120="","",策划表!G120)</f>
        <v/>
      </c>
      <c r="K120" t="str">
        <f>IF(策划表!H120="","",策划表!H120)</f>
        <v/>
      </c>
      <c r="L120" t="str">
        <f t="shared" si="9"/>
        <v>t_director_option1_1102411</v>
      </c>
      <c r="M120" t="str">
        <f>IF(策划表!I120="","",策划表!I120)</f>
        <v/>
      </c>
      <c r="N120" t="str">
        <f>IF(策划表!J120="","",策划表!J120)</f>
        <v/>
      </c>
      <c r="O120" t="str">
        <f>IF(策划表!K120="","",策划表!K120)</f>
        <v/>
      </c>
      <c r="P120" t="str">
        <f>IF(策划表!L120="","",策划表!L120)</f>
        <v/>
      </c>
      <c r="Q120" t="str">
        <f t="shared" si="10"/>
        <v>t_director_option2_1102411</v>
      </c>
      <c r="R120" t="str">
        <f>IF(策划表!M120="","",策划表!M120)</f>
        <v/>
      </c>
      <c r="S120" t="str">
        <f>IF(策划表!N120="","",策划表!N120)</f>
        <v/>
      </c>
      <c r="T120" t="str">
        <f>IF(策划表!O120="","",策划表!O120)</f>
        <v/>
      </c>
      <c r="U120" t="str">
        <f>IF(策划表!P120="","",策划表!P120)</f>
        <v/>
      </c>
      <c r="V120" t="str">
        <f t="shared" si="11"/>
        <v>t_director_option3_1102411</v>
      </c>
      <c r="W120" t="str">
        <f>IF(策划表!Q120="","",策划表!Q120)</f>
        <v/>
      </c>
      <c r="X120" t="str">
        <f>IF(策划表!R120="","",策划表!R120)</f>
        <v/>
      </c>
      <c r="Y120" t="str">
        <f>IF(策划表!S120="","",策划表!S120)</f>
        <v/>
      </c>
    </row>
    <row r="121" spans="1:25" x14ac:dyDescent="0.15">
      <c r="A121">
        <f>策划表!A121</f>
        <v>1102450</v>
      </c>
      <c r="B121" t="str">
        <f>IF(策划表!B121="","",策划表!B121)</f>
        <v>沃克</v>
      </c>
      <c r="C121" t="str">
        <f t="shared" si="6"/>
        <v>t_director_title_1102450</v>
      </c>
      <c r="D121" t="str">
        <f>IF(策划表!C121="","",策划表!C121)</f>
        <v>阁下，可有了兽皮？</v>
      </c>
      <c r="E121" t="str">
        <f t="shared" si="7"/>
        <v>t_director_dialog_1102450</v>
      </c>
      <c r="F121" t="str">
        <f>IF(策划表!D121="","",策划表!D121)</f>
        <v>交纳兽皮</v>
      </c>
      <c r="G121" t="str">
        <f t="shared" si="8"/>
        <v>t_director_option0_1102450</v>
      </c>
      <c r="H121">
        <f>IF(策划表!E121="","",策划表!E121)</f>
        <v>1</v>
      </c>
      <c r="I121">
        <f>IF(策划表!F121="","",策划表!F121)</f>
        <v>1102451</v>
      </c>
      <c r="J121" t="str">
        <f>IF(策划表!G121="","",策划表!G121)</f>
        <v/>
      </c>
      <c r="K121" t="str">
        <f>IF(策划表!H121="","",策划表!H121)</f>
        <v/>
      </c>
      <c r="L121" t="str">
        <f t="shared" si="9"/>
        <v>t_director_option1_1102450</v>
      </c>
      <c r="M121" t="str">
        <f>IF(策划表!I121="","",策划表!I121)</f>
        <v/>
      </c>
      <c r="N121" t="str">
        <f>IF(策划表!J121="","",策划表!J121)</f>
        <v/>
      </c>
      <c r="O121" t="str">
        <f>IF(策划表!K121="","",策划表!K121)</f>
        <v/>
      </c>
      <c r="P121" t="str">
        <f>IF(策划表!L121="","",策划表!L121)</f>
        <v/>
      </c>
      <c r="Q121" t="str">
        <f t="shared" si="10"/>
        <v>t_director_option2_1102450</v>
      </c>
      <c r="R121" t="str">
        <f>IF(策划表!M121="","",策划表!M121)</f>
        <v/>
      </c>
      <c r="S121" t="str">
        <f>IF(策划表!N121="","",策划表!N121)</f>
        <v/>
      </c>
      <c r="T121" t="str">
        <f>IF(策划表!O121="","",策划表!O121)</f>
        <v/>
      </c>
      <c r="U121" t="str">
        <f>IF(策划表!P121="","",策划表!P121)</f>
        <v/>
      </c>
      <c r="V121" t="str">
        <f t="shared" si="11"/>
        <v>t_director_option3_1102450</v>
      </c>
      <c r="W121" t="str">
        <f>IF(策划表!Q121="","",策划表!Q121)</f>
        <v/>
      </c>
      <c r="X121" t="str">
        <f>IF(策划表!R121="","",策划表!R121)</f>
        <v/>
      </c>
      <c r="Y121" t="str">
        <f>IF(策划表!S121="","",策划表!S121)</f>
        <v/>
      </c>
    </row>
    <row r="122" spans="1:25" x14ac:dyDescent="0.15">
      <c r="A122">
        <f>策划表!A122</f>
        <v>1102451</v>
      </c>
      <c r="B122" t="str">
        <f>IF(策划表!B122="","",策划表!B122)</f>
        <v>沃克</v>
      </c>
      <c r="C122" t="str">
        <f t="shared" si="6"/>
        <v>t_director_title_1102451</v>
      </c>
      <c r="D122" t="str">
        <f>IF(策划表!C122="","",策划表!C122)</f>
        <v>阁下，既然击杀了狂战士，那么，也请阁下讨伐一下周围的哥布林战士吧！</v>
      </c>
      <c r="E122" t="str">
        <f t="shared" si="7"/>
        <v>t_director_dialog_1102451</v>
      </c>
      <c r="F122" t="str">
        <f>IF(策划表!D122="","",策划表!D122)</f>
        <v>好的</v>
      </c>
      <c r="G122" t="str">
        <f t="shared" si="8"/>
        <v>t_director_option0_1102451</v>
      </c>
      <c r="H122">
        <f>IF(策划表!E122="","",策划表!E122)</f>
        <v>1</v>
      </c>
      <c r="I122" t="str">
        <f>IF(策划表!F122="","",策划表!F122)</f>
        <v/>
      </c>
      <c r="J122" t="str">
        <f>IF(策划表!G122="","",策划表!G122)</f>
        <v/>
      </c>
      <c r="K122" t="str">
        <f>IF(策划表!H122="","",策划表!H122)</f>
        <v/>
      </c>
      <c r="L122" t="str">
        <f t="shared" si="9"/>
        <v>t_director_option1_1102451</v>
      </c>
      <c r="M122" t="str">
        <f>IF(策划表!I122="","",策划表!I122)</f>
        <v/>
      </c>
      <c r="N122" t="str">
        <f>IF(策划表!J122="","",策划表!J122)</f>
        <v/>
      </c>
      <c r="O122" t="str">
        <f>IF(策划表!K122="","",策划表!K122)</f>
        <v/>
      </c>
      <c r="P122" t="str">
        <f>IF(策划表!L122="","",策划表!L122)</f>
        <v/>
      </c>
      <c r="Q122" t="str">
        <f t="shared" si="10"/>
        <v>t_director_option2_1102451</v>
      </c>
      <c r="R122" t="str">
        <f>IF(策划表!M122="","",策划表!M122)</f>
        <v/>
      </c>
      <c r="S122" t="str">
        <f>IF(策划表!N122="","",策划表!N122)</f>
        <v/>
      </c>
      <c r="T122" t="str">
        <f>IF(策划表!O122="","",策划表!O122)</f>
        <v/>
      </c>
      <c r="U122" t="str">
        <f>IF(策划表!P122="","",策划表!P122)</f>
        <v/>
      </c>
      <c r="V122" t="str">
        <f t="shared" si="11"/>
        <v>t_director_option3_1102451</v>
      </c>
      <c r="W122" t="str">
        <f>IF(策划表!Q122="","",策划表!Q122)</f>
        <v/>
      </c>
      <c r="X122" t="str">
        <f>IF(策划表!R122="","",策划表!R122)</f>
        <v/>
      </c>
      <c r="Y122" t="str">
        <f>IF(策划表!S122="","",策划表!S122)</f>
        <v/>
      </c>
    </row>
    <row r="123" spans="1:25" x14ac:dyDescent="0.15">
      <c r="A123">
        <f>策划表!A123</f>
        <v>1102480</v>
      </c>
      <c r="B123" t="str">
        <f>IF(策划表!B123="","",策划表!B123)</f>
        <v>沃克</v>
      </c>
      <c r="C123" t="str">
        <f t="shared" si="6"/>
        <v>t_director_title_1102480</v>
      </c>
      <c r="D123" t="str">
        <f>IF(策划表!C123="","",策划表!C123)</f>
        <v>阁下，讨伐的怎么样？</v>
      </c>
      <c r="E123" t="str">
        <f t="shared" si="7"/>
        <v>t_director_dialog_1102480</v>
      </c>
      <c r="F123" t="str">
        <f>IF(策划表!D123="","",策划表!D123)</f>
        <v>已经完成了</v>
      </c>
      <c r="G123" t="str">
        <f t="shared" si="8"/>
        <v>t_director_option0_1102480</v>
      </c>
      <c r="H123" t="str">
        <f>IF(策划表!E123="","",策划表!E123)</f>
        <v/>
      </c>
      <c r="I123">
        <f>IF(策划表!F123="","",策划表!F123)</f>
        <v>1102481</v>
      </c>
      <c r="J123" t="str">
        <f>IF(策划表!G123="","",策划表!G123)</f>
        <v/>
      </c>
      <c r="K123" t="str">
        <f>IF(策划表!H123="","",策划表!H123)</f>
        <v/>
      </c>
      <c r="L123" t="str">
        <f t="shared" si="9"/>
        <v>t_director_option1_1102480</v>
      </c>
      <c r="M123" t="str">
        <f>IF(策划表!I123="","",策划表!I123)</f>
        <v/>
      </c>
      <c r="N123" t="str">
        <f>IF(策划表!J123="","",策划表!J123)</f>
        <v/>
      </c>
      <c r="O123" t="str">
        <f>IF(策划表!K123="","",策划表!K123)</f>
        <v/>
      </c>
      <c r="P123" t="str">
        <f>IF(策划表!L123="","",策划表!L123)</f>
        <v/>
      </c>
      <c r="Q123" t="str">
        <f t="shared" si="10"/>
        <v>t_director_option2_1102480</v>
      </c>
      <c r="R123" t="str">
        <f>IF(策划表!M123="","",策划表!M123)</f>
        <v/>
      </c>
      <c r="S123" t="str">
        <f>IF(策划表!N123="","",策划表!N123)</f>
        <v/>
      </c>
      <c r="T123" t="str">
        <f>IF(策划表!O123="","",策划表!O123)</f>
        <v/>
      </c>
      <c r="U123" t="str">
        <f>IF(策划表!P123="","",策划表!P123)</f>
        <v/>
      </c>
      <c r="V123" t="str">
        <f t="shared" si="11"/>
        <v>t_director_option3_1102480</v>
      </c>
      <c r="W123" t="str">
        <f>IF(策划表!Q123="","",策划表!Q123)</f>
        <v/>
      </c>
      <c r="X123" t="str">
        <f>IF(策划表!R123="","",策划表!R123)</f>
        <v/>
      </c>
      <c r="Y123" t="str">
        <f>IF(策划表!S123="","",策划表!S123)</f>
        <v/>
      </c>
    </row>
    <row r="124" spans="1:25" x14ac:dyDescent="0.15">
      <c r="A124">
        <f>策划表!A124</f>
        <v>1102481</v>
      </c>
      <c r="B124" t="str">
        <f>IF(策划表!B124="","",策划表!B124)</f>
        <v>沃克</v>
      </c>
      <c r="C124" t="str">
        <f t="shared" si="6"/>
        <v>t_director_title_1102481</v>
      </c>
      <c r="D124" t="str">
        <f>IF(策划表!C124="","",策划表!C124)</f>
        <v>阁下，真是强大。</v>
      </c>
      <c r="E124" t="str">
        <f t="shared" si="7"/>
        <v>t_director_dialog_1102481</v>
      </c>
      <c r="F124" t="str">
        <f>IF(策划表!D124="","",策划表!D124)</f>
        <v>…</v>
      </c>
      <c r="G124" t="str">
        <f t="shared" si="8"/>
        <v>t_director_option0_1102481</v>
      </c>
      <c r="H124" t="str">
        <f>IF(策划表!E124="","",策划表!E124)</f>
        <v/>
      </c>
      <c r="I124">
        <f>IF(策划表!F124="","",策划表!F124)</f>
        <v>1102482</v>
      </c>
      <c r="J124" t="str">
        <f>IF(策划表!G124="","",策划表!G124)</f>
        <v/>
      </c>
      <c r="K124" t="str">
        <f>IF(策划表!H124="","",策划表!H124)</f>
        <v/>
      </c>
      <c r="L124" t="str">
        <f t="shared" si="9"/>
        <v>t_director_option1_1102481</v>
      </c>
      <c r="M124" t="str">
        <f>IF(策划表!I124="","",策划表!I124)</f>
        <v/>
      </c>
      <c r="N124" t="str">
        <f>IF(策划表!J124="","",策划表!J124)</f>
        <v/>
      </c>
      <c r="O124" t="str">
        <f>IF(策划表!K124="","",策划表!K124)</f>
        <v/>
      </c>
      <c r="P124" t="str">
        <f>IF(策划表!L124="","",策划表!L124)</f>
        <v/>
      </c>
      <c r="Q124" t="str">
        <f t="shared" si="10"/>
        <v>t_director_option2_1102481</v>
      </c>
      <c r="R124" t="str">
        <f>IF(策划表!M124="","",策划表!M124)</f>
        <v/>
      </c>
      <c r="S124" t="str">
        <f>IF(策划表!N124="","",策划表!N124)</f>
        <v/>
      </c>
      <c r="T124" t="str">
        <f>IF(策划表!O124="","",策划表!O124)</f>
        <v/>
      </c>
      <c r="U124" t="str">
        <f>IF(策划表!P124="","",策划表!P124)</f>
        <v/>
      </c>
      <c r="V124" t="str">
        <f t="shared" si="11"/>
        <v>t_director_option3_1102481</v>
      </c>
      <c r="W124" t="str">
        <f>IF(策划表!Q124="","",策划表!Q124)</f>
        <v/>
      </c>
      <c r="X124" t="str">
        <f>IF(策划表!R124="","",策划表!R124)</f>
        <v/>
      </c>
      <c r="Y124" t="str">
        <f>IF(策划表!S124="","",策划表!S124)</f>
        <v/>
      </c>
    </row>
    <row r="125" spans="1:25" x14ac:dyDescent="0.15">
      <c r="A125">
        <f>策划表!A125</f>
        <v>1102482</v>
      </c>
      <c r="B125" t="str">
        <f>IF(策划表!B125="","",策划表!B125)</f>
        <v>沃克</v>
      </c>
      <c r="C125" t="str">
        <f t="shared" si="6"/>
        <v>t_director_title_1102482</v>
      </c>
      <c r="D125" t="str">
        <f>IF(策划表!C125="","",策划表!C125)</f>
        <v>阁下他们身上有破碎的铁块，阁下可以帮我收集一下。我带回去，可以让士兵更有信心来收复这里。</v>
      </c>
      <c r="E125" t="str">
        <f t="shared" si="7"/>
        <v>t_director_dialog_1102482</v>
      </c>
      <c r="F125" t="str">
        <f>IF(策划表!D125="","",策划表!D125)</f>
        <v>好吧，我接受你的委托</v>
      </c>
      <c r="G125" t="str">
        <f t="shared" si="8"/>
        <v>t_director_option0_1102482</v>
      </c>
      <c r="H125">
        <f>IF(策划表!E125="","",策划表!E125)</f>
        <v>1</v>
      </c>
      <c r="I125" t="str">
        <f>IF(策划表!F125="","",策划表!F125)</f>
        <v/>
      </c>
      <c r="J125" t="str">
        <f>IF(策划表!G125="","",策划表!G125)</f>
        <v/>
      </c>
      <c r="K125" t="str">
        <f>IF(策划表!H125="","",策划表!H125)</f>
        <v>士兵怎么这么胆小了？</v>
      </c>
      <c r="L125" t="str">
        <f t="shared" si="9"/>
        <v>t_director_option1_1102482</v>
      </c>
      <c r="M125" t="str">
        <f>IF(策划表!I125="","",策划表!I125)</f>
        <v/>
      </c>
      <c r="N125">
        <f>IF(策划表!J125="","",策划表!J125)</f>
        <v>1102483</v>
      </c>
      <c r="O125" t="str">
        <f>IF(策划表!K125="","",策划表!K125)</f>
        <v/>
      </c>
      <c r="P125" t="str">
        <f>IF(策划表!L125="","",策划表!L125)</f>
        <v/>
      </c>
      <c r="Q125" t="str">
        <f t="shared" si="10"/>
        <v>t_director_option2_1102482</v>
      </c>
      <c r="R125" t="str">
        <f>IF(策划表!M125="","",策划表!M125)</f>
        <v/>
      </c>
      <c r="S125" t="str">
        <f>IF(策划表!N125="","",策划表!N125)</f>
        <v/>
      </c>
      <c r="T125" t="str">
        <f>IF(策划表!O125="","",策划表!O125)</f>
        <v/>
      </c>
      <c r="U125" t="str">
        <f>IF(策划表!P125="","",策划表!P125)</f>
        <v/>
      </c>
      <c r="V125" t="str">
        <f t="shared" si="11"/>
        <v>t_director_option3_1102482</v>
      </c>
      <c r="W125" t="str">
        <f>IF(策划表!Q125="","",策划表!Q125)</f>
        <v/>
      </c>
      <c r="X125" t="str">
        <f>IF(策划表!R125="","",策划表!R125)</f>
        <v/>
      </c>
      <c r="Y125" t="str">
        <f>IF(策划表!S125="","",策划表!S125)</f>
        <v/>
      </c>
    </row>
    <row r="126" spans="1:25" x14ac:dyDescent="0.15">
      <c r="A126">
        <f>策划表!A126</f>
        <v>1102483</v>
      </c>
      <c r="B126" t="str">
        <f>IF(策划表!B126="","",策划表!B126)</f>
        <v>沃克</v>
      </c>
      <c r="C126" t="str">
        <f t="shared" si="6"/>
        <v>t_director_title_1102483</v>
      </c>
      <c r="D126" t="str">
        <f>IF(策划表!C126="","",策划表!C126)</f>
        <v>真正的士兵都被神殿强行征召了。留守的士兵，连游荡的渔夫都难以应付。</v>
      </c>
      <c r="E126" t="str">
        <f t="shared" si="7"/>
        <v>t_director_dialog_1102483</v>
      </c>
      <c r="F126" t="str">
        <f>IF(策划表!D126="","",策划表!D126)</f>
        <v>…</v>
      </c>
      <c r="G126" t="str">
        <f t="shared" si="8"/>
        <v>t_director_option0_1102483</v>
      </c>
      <c r="H126" t="str">
        <f>IF(策划表!E126="","",策划表!E126)</f>
        <v/>
      </c>
      <c r="I126">
        <f>IF(策划表!F126="","",策划表!F126)</f>
        <v>1102484</v>
      </c>
      <c r="J126" t="str">
        <f>IF(策划表!G126="","",策划表!G126)</f>
        <v/>
      </c>
      <c r="K126" t="str">
        <f>IF(策划表!H126="","",策划表!H126)</f>
        <v/>
      </c>
      <c r="L126" t="str">
        <f t="shared" si="9"/>
        <v>t_director_option1_1102483</v>
      </c>
      <c r="M126" t="str">
        <f>IF(策划表!I126="","",策划表!I126)</f>
        <v/>
      </c>
      <c r="N126" t="str">
        <f>IF(策划表!J126="","",策划表!J126)</f>
        <v/>
      </c>
      <c r="O126" t="str">
        <f>IF(策划表!K126="","",策划表!K126)</f>
        <v/>
      </c>
      <c r="P126" t="str">
        <f>IF(策划表!L126="","",策划表!L126)</f>
        <v/>
      </c>
      <c r="Q126" t="str">
        <f t="shared" si="10"/>
        <v>t_director_option2_1102483</v>
      </c>
      <c r="R126" t="str">
        <f>IF(策划表!M126="","",策划表!M126)</f>
        <v/>
      </c>
      <c r="S126" t="str">
        <f>IF(策划表!N126="","",策划表!N126)</f>
        <v/>
      </c>
      <c r="T126" t="str">
        <f>IF(策划表!O126="","",策划表!O126)</f>
        <v/>
      </c>
      <c r="U126" t="str">
        <f>IF(策划表!P126="","",策划表!P126)</f>
        <v/>
      </c>
      <c r="V126" t="str">
        <f t="shared" si="11"/>
        <v>t_director_option3_1102483</v>
      </c>
      <c r="W126" t="str">
        <f>IF(策划表!Q126="","",策划表!Q126)</f>
        <v/>
      </c>
      <c r="X126" t="str">
        <f>IF(策划表!R126="","",策划表!R126)</f>
        <v/>
      </c>
      <c r="Y126" t="str">
        <f>IF(策划表!S126="","",策划表!S126)</f>
        <v/>
      </c>
    </row>
    <row r="127" spans="1:25" x14ac:dyDescent="0.15">
      <c r="A127">
        <f>策划表!A127</f>
        <v>1102484</v>
      </c>
      <c r="B127" t="str">
        <f>IF(策划表!B127="","",策划表!B127)</f>
        <v>沃克</v>
      </c>
      <c r="C127" t="str">
        <f t="shared" si="6"/>
        <v>t_director_title_1102484</v>
      </c>
      <c r="D127" t="str">
        <f>IF(策划表!C127="","",策划表!C127)</f>
        <v>神殿在刷子公会的强者外出后就在密谋什么。</v>
      </c>
      <c r="E127" t="str">
        <f t="shared" si="7"/>
        <v>t_director_dialog_1102484</v>
      </c>
      <c r="F127" t="str">
        <f>IF(策划表!D127="","",策划表!D127)</f>
        <v>好吧，我接受你的委托</v>
      </c>
      <c r="G127" t="str">
        <f t="shared" si="8"/>
        <v>t_director_option0_1102484</v>
      </c>
      <c r="H127">
        <f>IF(策划表!E127="","",策划表!E127)</f>
        <v>1</v>
      </c>
      <c r="I127" t="str">
        <f>IF(策划表!F127="","",策划表!F127)</f>
        <v/>
      </c>
      <c r="J127" t="str">
        <f>IF(策划表!G127="","",策划表!G127)</f>
        <v/>
      </c>
      <c r="K127" t="str">
        <f>IF(策划表!H127="","",策划表!H127)</f>
        <v/>
      </c>
      <c r="L127" t="str">
        <f t="shared" si="9"/>
        <v>t_director_option1_1102484</v>
      </c>
      <c r="M127" t="str">
        <f>IF(策划表!I127="","",策划表!I127)</f>
        <v/>
      </c>
      <c r="N127" t="str">
        <f>IF(策划表!J127="","",策划表!J127)</f>
        <v/>
      </c>
      <c r="O127" t="str">
        <f>IF(策划表!K127="","",策划表!K127)</f>
        <v/>
      </c>
      <c r="P127" t="str">
        <f>IF(策划表!L127="","",策划表!L127)</f>
        <v/>
      </c>
      <c r="Q127" t="str">
        <f t="shared" si="10"/>
        <v>t_director_option2_1102484</v>
      </c>
      <c r="R127" t="str">
        <f>IF(策划表!M127="","",策划表!M127)</f>
        <v/>
      </c>
      <c r="S127" t="str">
        <f>IF(策划表!N127="","",策划表!N127)</f>
        <v/>
      </c>
      <c r="T127" t="str">
        <f>IF(策划表!O127="","",策划表!O127)</f>
        <v/>
      </c>
      <c r="U127" t="str">
        <f>IF(策划表!P127="","",策划表!P127)</f>
        <v/>
      </c>
      <c r="V127" t="str">
        <f t="shared" si="11"/>
        <v>t_director_option3_1102484</v>
      </c>
      <c r="W127" t="str">
        <f>IF(策划表!Q127="","",策划表!Q127)</f>
        <v/>
      </c>
      <c r="X127" t="str">
        <f>IF(策划表!R127="","",策划表!R127)</f>
        <v/>
      </c>
      <c r="Y127" t="str">
        <f>IF(策划表!S127="","",策划表!S127)</f>
        <v/>
      </c>
    </row>
    <row r="128" spans="1:25" x14ac:dyDescent="0.15">
      <c r="A128">
        <f>策划表!A128</f>
        <v>1102500</v>
      </c>
      <c r="B128" t="str">
        <f>IF(策划表!B128="","",策划表!B128)</f>
        <v>沃克</v>
      </c>
      <c r="C128" t="str">
        <f t="shared" si="6"/>
        <v>t_director_title_1102500</v>
      </c>
      <c r="D128" t="str">
        <f>IF(策划表!C128="","",策划表!C128)</f>
        <v>阁下收缴好了吗？</v>
      </c>
      <c r="E128" t="str">
        <f t="shared" si="7"/>
        <v>t_director_dialog_1102500</v>
      </c>
      <c r="F128" t="str">
        <f>IF(策划表!D128="","",策划表!D128)</f>
        <v>已经收缴好了</v>
      </c>
      <c r="G128" t="str">
        <f t="shared" si="8"/>
        <v>t_director_option0_1102500</v>
      </c>
      <c r="H128">
        <f>IF(策划表!E128="","",策划表!E128)</f>
        <v>1</v>
      </c>
      <c r="I128">
        <f>IF(策划表!F128="","",策划表!F128)</f>
        <v>1102501</v>
      </c>
      <c r="J128" t="str">
        <f>IF(策划表!G128="","",策划表!G128)</f>
        <v/>
      </c>
      <c r="K128" t="str">
        <f>IF(策划表!H128="","",策划表!H128)</f>
        <v>我再去猎取</v>
      </c>
      <c r="L128" t="str">
        <f t="shared" si="9"/>
        <v>t_director_option1_1102500</v>
      </c>
      <c r="M128">
        <f>IF(策划表!I128="","",策划表!I128)</f>
        <v>2</v>
      </c>
      <c r="N128" t="str">
        <f>IF(策划表!J128="","",策划表!J128)</f>
        <v/>
      </c>
      <c r="O128" t="str">
        <f>IF(策划表!K128="","",策划表!K128)</f>
        <v/>
      </c>
      <c r="P128" t="str">
        <f>IF(策划表!L128="","",策划表!L128)</f>
        <v/>
      </c>
      <c r="Q128" t="str">
        <f t="shared" si="10"/>
        <v>t_director_option2_1102500</v>
      </c>
      <c r="R128" t="str">
        <f>IF(策划表!M128="","",策划表!M128)</f>
        <v/>
      </c>
      <c r="S128" t="str">
        <f>IF(策划表!N128="","",策划表!N128)</f>
        <v/>
      </c>
      <c r="T128" t="str">
        <f>IF(策划表!O128="","",策划表!O128)</f>
        <v/>
      </c>
      <c r="U128" t="str">
        <f>IF(策划表!P128="","",策划表!P128)</f>
        <v/>
      </c>
      <c r="V128" t="str">
        <f t="shared" si="11"/>
        <v>t_director_option3_1102500</v>
      </c>
      <c r="W128" t="str">
        <f>IF(策划表!Q128="","",策划表!Q128)</f>
        <v/>
      </c>
      <c r="X128" t="str">
        <f>IF(策划表!R128="","",策划表!R128)</f>
        <v/>
      </c>
      <c r="Y128" t="str">
        <f>IF(策划表!S128="","",策划表!S128)</f>
        <v/>
      </c>
    </row>
    <row r="129" spans="1:25" x14ac:dyDescent="0.15">
      <c r="A129">
        <f>策划表!A129</f>
        <v>1102501</v>
      </c>
      <c r="B129" t="str">
        <f>IF(策划表!B129="","",策划表!B129)</f>
        <v>沃克</v>
      </c>
      <c r="C129" t="str">
        <f t="shared" si="6"/>
        <v>t_director_title_1102501</v>
      </c>
      <c r="D129" t="str">
        <f>IF(策划表!C129="","",策划表!C129)</f>
        <v>多谢阁下，不愧是人类的精英刷子公会的人。</v>
      </c>
      <c r="E129" t="str">
        <f t="shared" si="7"/>
        <v>t_director_dialog_1102501</v>
      </c>
      <c r="F129" t="str">
        <f>IF(策划表!D129="","",策划表!D129)</f>
        <v>…</v>
      </c>
      <c r="G129" t="str">
        <f t="shared" si="8"/>
        <v>t_director_option0_1102501</v>
      </c>
      <c r="H129">
        <f>IF(策划表!E129="","",策划表!E129)</f>
        <v>2</v>
      </c>
      <c r="I129" t="str">
        <f>IF(策划表!F129="","",策划表!F129)</f>
        <v/>
      </c>
      <c r="J129" t="str">
        <f>IF(策划表!G129="","",策划表!G129)</f>
        <v/>
      </c>
      <c r="K129" t="str">
        <f>IF(策划表!H129="","",策划表!H129)</f>
        <v/>
      </c>
      <c r="L129" t="str">
        <f t="shared" si="9"/>
        <v>t_director_option1_1102501</v>
      </c>
      <c r="M129" t="str">
        <f>IF(策划表!I129="","",策划表!I129)</f>
        <v/>
      </c>
      <c r="N129" t="str">
        <f>IF(策划表!J129="","",策划表!J129)</f>
        <v/>
      </c>
      <c r="O129" t="str">
        <f>IF(策划表!K129="","",策划表!K129)</f>
        <v/>
      </c>
      <c r="P129" t="str">
        <f>IF(策划表!L129="","",策划表!L129)</f>
        <v/>
      </c>
      <c r="Q129" t="str">
        <f t="shared" si="10"/>
        <v>t_director_option2_1102501</v>
      </c>
      <c r="R129" t="str">
        <f>IF(策划表!M129="","",策划表!M129)</f>
        <v/>
      </c>
      <c r="S129" t="str">
        <f>IF(策划表!N129="","",策划表!N129)</f>
        <v/>
      </c>
      <c r="T129" t="str">
        <f>IF(策划表!O129="","",策划表!O129)</f>
        <v/>
      </c>
      <c r="U129" t="str">
        <f>IF(策划表!P129="","",策划表!P129)</f>
        <v/>
      </c>
      <c r="V129" t="str">
        <f t="shared" si="11"/>
        <v>t_director_option3_1102501</v>
      </c>
      <c r="W129" t="str">
        <f>IF(策划表!Q129="","",策划表!Q129)</f>
        <v/>
      </c>
      <c r="X129" t="str">
        <f>IF(策划表!R129="","",策划表!R129)</f>
        <v/>
      </c>
      <c r="Y129" t="str">
        <f>IF(策划表!S129="","",策划表!S129)</f>
        <v/>
      </c>
    </row>
    <row r="130" spans="1:25" x14ac:dyDescent="0.15">
      <c r="A130">
        <f>策划表!A130</f>
        <v>1102600</v>
      </c>
      <c r="B130" t="str">
        <f>IF(策划表!B130="","",策划表!B130)</f>
        <v>沃克</v>
      </c>
      <c r="C130" t="str">
        <f t="shared" si="6"/>
        <v>t_director_title_1102600</v>
      </c>
      <c r="D130" t="str">
        <f>IF(策划表!C130="","",策划表!C130)</f>
        <v>阁下，都到了这一步了，阁下能直接去讨伐哥布林先知吗？获得他的宝玉交给我。</v>
      </c>
      <c r="E130" t="str">
        <f t="shared" si="7"/>
        <v>t_director_dialog_1102600</v>
      </c>
      <c r="F130" t="str">
        <f>IF(策划表!D130="","",策划表!D130)</f>
        <v>好的</v>
      </c>
      <c r="G130" t="str">
        <f t="shared" si="8"/>
        <v>t_director_option0_1102600</v>
      </c>
      <c r="H130">
        <f>IF(策划表!E130="","",策划表!E130)</f>
        <v>1</v>
      </c>
      <c r="I130" t="str">
        <f>IF(策划表!F130="","",策划表!F130)</f>
        <v/>
      </c>
      <c r="J130" t="str">
        <f>IF(策划表!G130="","",策划表!G130)</f>
        <v/>
      </c>
      <c r="K130" t="str">
        <f>IF(策划表!H130="","",策划表!H130)</f>
        <v>我还有事</v>
      </c>
      <c r="L130" t="str">
        <f t="shared" si="9"/>
        <v>t_director_option1_1102600</v>
      </c>
      <c r="M130">
        <f>IF(策划表!I130="","",策划表!I130)</f>
        <v>2</v>
      </c>
      <c r="N130" t="str">
        <f>IF(策划表!J130="","",策划表!J130)</f>
        <v/>
      </c>
      <c r="O130" t="str">
        <f>IF(策划表!K130="","",策划表!K130)</f>
        <v/>
      </c>
      <c r="P130" t="str">
        <f>IF(策划表!L130="","",策划表!L130)</f>
        <v/>
      </c>
      <c r="Q130" t="str">
        <f t="shared" si="10"/>
        <v>t_director_option2_1102600</v>
      </c>
      <c r="R130" t="str">
        <f>IF(策划表!M130="","",策划表!M130)</f>
        <v/>
      </c>
      <c r="S130" t="str">
        <f>IF(策划表!N130="","",策划表!N130)</f>
        <v/>
      </c>
      <c r="T130" t="str">
        <f>IF(策划表!O130="","",策划表!O130)</f>
        <v/>
      </c>
      <c r="U130" t="str">
        <f>IF(策划表!P130="","",策划表!P130)</f>
        <v/>
      </c>
      <c r="V130" t="str">
        <f t="shared" si="11"/>
        <v>t_director_option3_1102600</v>
      </c>
      <c r="W130" t="str">
        <f>IF(策划表!Q130="","",策划表!Q130)</f>
        <v/>
      </c>
      <c r="X130" t="str">
        <f>IF(策划表!R130="","",策划表!R130)</f>
        <v/>
      </c>
      <c r="Y130" t="str">
        <f>IF(策划表!S130="","",策划表!S130)</f>
        <v/>
      </c>
    </row>
    <row r="131" spans="1:25" x14ac:dyDescent="0.15">
      <c r="A131">
        <f>策划表!A131</f>
        <v>1102650</v>
      </c>
      <c r="B131" t="str">
        <f>IF(策划表!B131="","",策划表!B131)</f>
        <v>沃克</v>
      </c>
      <c r="C131" t="str">
        <f t="shared" si="6"/>
        <v>t_director_title_1102650</v>
      </c>
      <c r="D131" t="str">
        <f>IF(策划表!C131="","",策划表!C131)</f>
        <v>阁下，您获得宝玉了吗？</v>
      </c>
      <c r="E131" t="str">
        <f t="shared" si="7"/>
        <v>t_director_dialog_1102650</v>
      </c>
      <c r="F131" t="str">
        <f>IF(策划表!D131="","",策划表!D131)</f>
        <v>交纳宝玉</v>
      </c>
      <c r="G131" t="str">
        <f t="shared" si="8"/>
        <v>t_director_option0_1102650</v>
      </c>
      <c r="H131">
        <f>IF(策划表!E131="","",策划表!E131)</f>
        <v>1</v>
      </c>
      <c r="I131">
        <f>IF(策划表!F131="","",策划表!F131)</f>
        <v>1102651</v>
      </c>
      <c r="J131" t="str">
        <f>IF(策划表!G131="","",策划表!G131)</f>
        <v/>
      </c>
      <c r="K131" t="str">
        <f>IF(策划表!H131="","",策划表!H131)</f>
        <v>别得寸进尺</v>
      </c>
      <c r="L131" t="str">
        <f t="shared" si="9"/>
        <v>t_director_option1_1102650</v>
      </c>
      <c r="M131" t="str">
        <f>IF(策划表!I131="","",策划表!I131)</f>
        <v/>
      </c>
      <c r="N131">
        <f>IF(策划表!J131="","",策划表!J131)</f>
        <v>1102652</v>
      </c>
      <c r="O131" t="str">
        <f>IF(策划表!K131="","",策划表!K131)</f>
        <v/>
      </c>
      <c r="P131" t="str">
        <f>IF(策划表!L131="","",策划表!L131)</f>
        <v/>
      </c>
      <c r="Q131" t="str">
        <f t="shared" si="10"/>
        <v>t_director_option2_1102650</v>
      </c>
      <c r="R131" t="str">
        <f>IF(策划表!M131="","",策划表!M131)</f>
        <v/>
      </c>
      <c r="S131" t="str">
        <f>IF(策划表!N131="","",策划表!N131)</f>
        <v/>
      </c>
      <c r="T131" t="str">
        <f>IF(策划表!O131="","",策划表!O131)</f>
        <v/>
      </c>
      <c r="U131" t="str">
        <f>IF(策划表!P131="","",策划表!P131)</f>
        <v/>
      </c>
      <c r="V131" t="str">
        <f t="shared" si="11"/>
        <v>t_director_option3_1102650</v>
      </c>
      <c r="W131" t="str">
        <f>IF(策划表!Q131="","",策划表!Q131)</f>
        <v/>
      </c>
      <c r="X131" t="str">
        <f>IF(策划表!R131="","",策划表!R131)</f>
        <v/>
      </c>
      <c r="Y131" t="str">
        <f>IF(策划表!S131="","",策划表!S131)</f>
        <v/>
      </c>
    </row>
    <row r="132" spans="1:25" x14ac:dyDescent="0.15">
      <c r="A132">
        <f>策划表!A132</f>
        <v>1102651</v>
      </c>
      <c r="B132" t="str">
        <f>IF(策划表!B132="","",策划表!B132)</f>
        <v>沃克</v>
      </c>
      <c r="C132" t="str">
        <f t="shared" si="6"/>
        <v>t_director_title_1102651</v>
      </c>
      <c r="D132" t="str">
        <f>IF(策划表!C132="","",策划表!C132)</f>
        <v>阁下，真是天纵英才，您讨伐一些剩下的哥布林法师吧？</v>
      </c>
      <c r="E132" t="str">
        <f t="shared" si="7"/>
        <v>t_director_dialog_1102651</v>
      </c>
      <c r="F132" t="str">
        <f>IF(策划表!D132="","",策划表!D132)</f>
        <v>好吧，我接受你的委托</v>
      </c>
      <c r="G132" t="str">
        <f t="shared" si="8"/>
        <v>t_director_option0_1102651</v>
      </c>
      <c r="H132">
        <f>IF(策划表!E132="","",策划表!E132)</f>
        <v>1</v>
      </c>
      <c r="I132" t="str">
        <f>IF(策划表!F132="","",策划表!F132)</f>
        <v/>
      </c>
      <c r="J132" t="str">
        <f>IF(策划表!G132="","",策划表!G132)</f>
        <v/>
      </c>
      <c r="K132" t="str">
        <f>IF(策划表!H132="","",策划表!H132)</f>
        <v/>
      </c>
      <c r="L132" t="str">
        <f t="shared" si="9"/>
        <v>t_director_option1_1102651</v>
      </c>
      <c r="M132" t="str">
        <f>IF(策划表!I132="","",策划表!I132)</f>
        <v/>
      </c>
      <c r="N132" t="str">
        <f>IF(策划表!J132="","",策划表!J132)</f>
        <v/>
      </c>
      <c r="O132" t="str">
        <f>IF(策划表!K132="","",策划表!K132)</f>
        <v/>
      </c>
      <c r="P132" t="str">
        <f>IF(策划表!L132="","",策划表!L132)</f>
        <v/>
      </c>
      <c r="Q132" t="str">
        <f t="shared" si="10"/>
        <v>t_director_option2_1102651</v>
      </c>
      <c r="R132" t="str">
        <f>IF(策划表!M132="","",策划表!M132)</f>
        <v/>
      </c>
      <c r="S132" t="str">
        <f>IF(策划表!N132="","",策划表!N132)</f>
        <v/>
      </c>
      <c r="T132" t="str">
        <f>IF(策划表!O132="","",策划表!O132)</f>
        <v/>
      </c>
      <c r="U132" t="str">
        <f>IF(策划表!P132="","",策划表!P132)</f>
        <v/>
      </c>
      <c r="V132" t="str">
        <f t="shared" si="11"/>
        <v>t_director_option3_1102651</v>
      </c>
      <c r="W132" t="str">
        <f>IF(策划表!Q132="","",策划表!Q132)</f>
        <v/>
      </c>
      <c r="X132" t="str">
        <f>IF(策划表!R132="","",策划表!R132)</f>
        <v/>
      </c>
      <c r="Y132" t="str">
        <f>IF(策划表!S132="","",策划表!S132)</f>
        <v/>
      </c>
    </row>
    <row r="133" spans="1:25" x14ac:dyDescent="0.15">
      <c r="A133">
        <f>策划表!A133</f>
        <v>1102652</v>
      </c>
      <c r="B133" t="str">
        <f>IF(策划表!B133="","",策划表!B133)</f>
        <v>沃克</v>
      </c>
      <c r="C133" t="str">
        <f t="shared" ref="C133:C162" si="12">"t_director_title_"&amp;A133</f>
        <v>t_director_title_1102652</v>
      </c>
      <c r="D133" t="str">
        <f>IF(策划表!C133="","",策划表!C133)</f>
        <v>阁下若是能完成任务，我正好知道神殿密谋的是什么，可以告诉阁下。</v>
      </c>
      <c r="E133" t="str">
        <f t="shared" ref="E133:E162" si="13">"t_director_dialog_"&amp;A133</f>
        <v>t_director_dialog_1102652</v>
      </c>
      <c r="F133" t="str">
        <f>IF(策划表!D133="","",策划表!D133)</f>
        <v>好吧，我去猎杀</v>
      </c>
      <c r="G133" t="str">
        <f t="shared" ref="G133:G162" si="14">"t_director_option0_"&amp;A133</f>
        <v>t_director_option0_1102652</v>
      </c>
      <c r="H133">
        <f>IF(策划表!E133="","",策划表!E133)</f>
        <v>1</v>
      </c>
      <c r="I133" t="str">
        <f>IF(策划表!F133="","",策划表!F133)</f>
        <v/>
      </c>
      <c r="J133" t="str">
        <f>IF(策划表!G133="","",策划表!G133)</f>
        <v/>
      </c>
      <c r="K133" t="str">
        <f>IF(策划表!H133="","",策划表!H133)</f>
        <v/>
      </c>
      <c r="L133" t="str">
        <f t="shared" ref="L133:L162" si="15">"t_director_option1_"&amp;A133</f>
        <v>t_director_option1_1102652</v>
      </c>
      <c r="M133" t="str">
        <f>IF(策划表!I133="","",策划表!I133)</f>
        <v/>
      </c>
      <c r="N133" t="str">
        <f>IF(策划表!J133="","",策划表!J133)</f>
        <v/>
      </c>
      <c r="O133" t="str">
        <f>IF(策划表!K133="","",策划表!K133)</f>
        <v/>
      </c>
      <c r="P133" t="str">
        <f>IF(策划表!L133="","",策划表!L133)</f>
        <v/>
      </c>
      <c r="Q133" t="str">
        <f t="shared" ref="Q133:Q162" si="16">"t_director_option2_"&amp;A133</f>
        <v>t_director_option2_1102652</v>
      </c>
      <c r="R133" t="str">
        <f>IF(策划表!M133="","",策划表!M133)</f>
        <v/>
      </c>
      <c r="S133" t="str">
        <f>IF(策划表!N133="","",策划表!N133)</f>
        <v/>
      </c>
      <c r="T133" t="str">
        <f>IF(策划表!O133="","",策划表!O133)</f>
        <v/>
      </c>
      <c r="U133" t="str">
        <f>IF(策划表!P133="","",策划表!P133)</f>
        <v/>
      </c>
      <c r="V133" t="str">
        <f t="shared" ref="V133:V162" si="17">"t_director_option3_"&amp;A133</f>
        <v>t_director_option3_1102652</v>
      </c>
      <c r="W133" t="str">
        <f>IF(策划表!Q133="","",策划表!Q133)</f>
        <v/>
      </c>
      <c r="X133" t="str">
        <f>IF(策划表!R133="","",策划表!R133)</f>
        <v/>
      </c>
      <c r="Y133" t="str">
        <f>IF(策划表!S133="","",策划表!S133)</f>
        <v/>
      </c>
    </row>
    <row r="134" spans="1:25" x14ac:dyDescent="0.15">
      <c r="A134">
        <f>策划表!A134</f>
        <v>1102700</v>
      </c>
      <c r="B134" t="str">
        <f>IF(策划表!B134="","",策划表!B134)</f>
        <v>沃克</v>
      </c>
      <c r="C134" t="str">
        <f t="shared" si="12"/>
        <v>t_director_title_1102700</v>
      </c>
      <c r="D134" t="str">
        <f>IF(策划表!C134="","",策划表!C134)</f>
        <v>阁下，您扫荡了哥布林法师了吗？</v>
      </c>
      <c r="E134" t="str">
        <f t="shared" si="13"/>
        <v>t_director_dialog_1102700</v>
      </c>
      <c r="F134" t="str">
        <f>IF(策划表!D134="","",策划表!D134)</f>
        <v>击杀过了</v>
      </c>
      <c r="G134" t="str">
        <f t="shared" si="14"/>
        <v>t_director_option0_1102700</v>
      </c>
      <c r="H134" t="str">
        <f>IF(策划表!E134="","",策划表!E134)</f>
        <v/>
      </c>
      <c r="I134">
        <f>IF(策划表!F134="","",策划表!F134)</f>
        <v>1102601</v>
      </c>
      <c r="J134" t="str">
        <f>IF(策划表!G134="","",策划表!G134)</f>
        <v/>
      </c>
      <c r="K134" t="str">
        <f>IF(策划表!H134="","",策划表!H134)</f>
        <v>我去猎杀</v>
      </c>
      <c r="L134" t="str">
        <f t="shared" si="15"/>
        <v>t_director_option1_1102700</v>
      </c>
      <c r="M134">
        <f>IF(策划表!I134="","",策划表!I134)</f>
        <v>2</v>
      </c>
      <c r="N134" t="str">
        <f>IF(策划表!J134="","",策划表!J134)</f>
        <v/>
      </c>
      <c r="O134" t="str">
        <f>IF(策划表!K134="","",策划表!K134)</f>
        <v/>
      </c>
      <c r="P134" t="str">
        <f>IF(策划表!L134="","",策划表!L134)</f>
        <v/>
      </c>
      <c r="Q134" t="str">
        <f t="shared" si="16"/>
        <v>t_director_option2_1102700</v>
      </c>
      <c r="R134" t="str">
        <f>IF(策划表!M134="","",策划表!M134)</f>
        <v/>
      </c>
      <c r="S134" t="str">
        <f>IF(策划表!N134="","",策划表!N134)</f>
        <v/>
      </c>
      <c r="T134" t="str">
        <f>IF(策划表!O134="","",策划表!O134)</f>
        <v/>
      </c>
      <c r="U134" t="str">
        <f>IF(策划表!P134="","",策划表!P134)</f>
        <v/>
      </c>
      <c r="V134" t="str">
        <f t="shared" si="17"/>
        <v>t_director_option3_1102700</v>
      </c>
      <c r="W134" t="str">
        <f>IF(策划表!Q134="","",策划表!Q134)</f>
        <v/>
      </c>
      <c r="X134" t="str">
        <f>IF(策划表!R134="","",策划表!R134)</f>
        <v/>
      </c>
      <c r="Y134" t="str">
        <f>IF(策划表!S134="","",策划表!S134)</f>
        <v/>
      </c>
    </row>
    <row r="135" spans="1:25" x14ac:dyDescent="0.15">
      <c r="A135">
        <f>策划表!A135</f>
        <v>1102701</v>
      </c>
      <c r="B135" t="str">
        <f>IF(策划表!B135="","",策划表!B135)</f>
        <v>沃克</v>
      </c>
      <c r="C135" t="str">
        <f t="shared" si="12"/>
        <v>t_director_title_1102701</v>
      </c>
      <c r="D135" t="str">
        <f>IF(策划表!C135="","",策划表!C135)</f>
        <v>阁下，哥布林法师身上的破碎的魔法结晶可是好东西，阁下可以获得一些。我会告诉阁下我知道的关于神殿所有的消息。</v>
      </c>
      <c r="E135" t="str">
        <f t="shared" si="13"/>
        <v>t_director_dialog_1102701</v>
      </c>
      <c r="F135" t="str">
        <f>IF(策划表!D135="","",策划表!D135)</f>
        <v>好，我接受你的委托</v>
      </c>
      <c r="G135" t="str">
        <f t="shared" si="14"/>
        <v>t_director_option0_1102701</v>
      </c>
      <c r="H135">
        <f>IF(策划表!E135="","",策划表!E135)</f>
        <v>1</v>
      </c>
      <c r="I135" t="str">
        <f>IF(策划表!F135="","",策划表!F135)</f>
        <v/>
      </c>
      <c r="J135" t="str">
        <f>IF(策划表!G135="","",策划表!G135)</f>
        <v/>
      </c>
      <c r="K135" t="str">
        <f>IF(策划表!H135="","",策划表!H135)</f>
        <v/>
      </c>
      <c r="L135" t="str">
        <f t="shared" si="15"/>
        <v>t_director_option1_1102701</v>
      </c>
      <c r="M135" t="str">
        <f>IF(策划表!I135="","",策划表!I135)</f>
        <v/>
      </c>
      <c r="N135" t="str">
        <f>IF(策划表!J135="","",策划表!J135)</f>
        <v/>
      </c>
      <c r="O135" t="str">
        <f>IF(策划表!K135="","",策划表!K135)</f>
        <v/>
      </c>
      <c r="P135" t="str">
        <f>IF(策划表!L135="","",策划表!L135)</f>
        <v/>
      </c>
      <c r="Q135" t="str">
        <f t="shared" si="16"/>
        <v>t_director_option2_1102701</v>
      </c>
      <c r="R135" t="str">
        <f>IF(策划表!M135="","",策划表!M135)</f>
        <v/>
      </c>
      <c r="S135" t="str">
        <f>IF(策划表!N135="","",策划表!N135)</f>
        <v/>
      </c>
      <c r="T135" t="str">
        <f>IF(策划表!O135="","",策划表!O135)</f>
        <v/>
      </c>
      <c r="U135" t="str">
        <f>IF(策划表!P135="","",策划表!P135)</f>
        <v/>
      </c>
      <c r="V135" t="str">
        <f t="shared" si="17"/>
        <v>t_director_option3_1102701</v>
      </c>
      <c r="W135" t="str">
        <f>IF(策划表!Q135="","",策划表!Q135)</f>
        <v/>
      </c>
      <c r="X135" t="str">
        <f>IF(策划表!R135="","",策划表!R135)</f>
        <v/>
      </c>
      <c r="Y135" t="str">
        <f>IF(策划表!S135="","",策划表!S135)</f>
        <v/>
      </c>
    </row>
    <row r="136" spans="1:25" x14ac:dyDescent="0.15">
      <c r="A136">
        <f>策划表!A136</f>
        <v>1102800</v>
      </c>
      <c r="B136" t="str">
        <f>IF(策划表!B136="","",策划表!B136)</f>
        <v>沃克</v>
      </c>
      <c r="C136" t="str">
        <f t="shared" si="12"/>
        <v>t_director_title_1102800</v>
      </c>
      <c r="D136" t="str">
        <f>IF(策划表!C136="","",策划表!C136)</f>
        <v>阁下，您收集了破碎的魔法结晶吗？</v>
      </c>
      <c r="E136" t="str">
        <f t="shared" si="13"/>
        <v>t_director_dialog_1102800</v>
      </c>
      <c r="F136" t="str">
        <f>IF(策划表!D136="","",策划表!D136)</f>
        <v>收集好了</v>
      </c>
      <c r="G136" t="str">
        <f t="shared" si="14"/>
        <v>t_director_option0_1102800</v>
      </c>
      <c r="H136" t="str">
        <f>IF(策划表!E136="","",策划表!E136)</f>
        <v/>
      </c>
      <c r="I136">
        <f>IF(策划表!F136="","",策划表!F136)</f>
        <v>1102701</v>
      </c>
      <c r="J136" t="str">
        <f>IF(策划表!G136="","",策划表!G136)</f>
        <v/>
      </c>
      <c r="K136" t="str">
        <f>IF(策划表!H136="","",策划表!H136)</f>
        <v>我再去收集</v>
      </c>
      <c r="L136" t="str">
        <f t="shared" si="15"/>
        <v>t_director_option1_1102800</v>
      </c>
      <c r="M136">
        <f>IF(策划表!I136="","",策划表!I136)</f>
        <v>2</v>
      </c>
      <c r="N136" t="str">
        <f>IF(策划表!J136="","",策划表!J136)</f>
        <v/>
      </c>
      <c r="O136" t="str">
        <f>IF(策划表!K136="","",策划表!K136)</f>
        <v/>
      </c>
      <c r="P136" t="str">
        <f>IF(策划表!L136="","",策划表!L136)</f>
        <v/>
      </c>
      <c r="Q136" t="str">
        <f t="shared" si="16"/>
        <v>t_director_option2_1102800</v>
      </c>
      <c r="R136" t="str">
        <f>IF(策划表!M136="","",策划表!M136)</f>
        <v/>
      </c>
      <c r="S136" t="str">
        <f>IF(策划表!N136="","",策划表!N136)</f>
        <v/>
      </c>
      <c r="T136" t="str">
        <f>IF(策划表!O136="","",策划表!O136)</f>
        <v/>
      </c>
      <c r="U136" t="str">
        <f>IF(策划表!P136="","",策划表!P136)</f>
        <v/>
      </c>
      <c r="V136" t="str">
        <f t="shared" si="17"/>
        <v>t_director_option3_1102800</v>
      </c>
      <c r="W136" t="str">
        <f>IF(策划表!Q136="","",策划表!Q136)</f>
        <v/>
      </c>
      <c r="X136" t="str">
        <f>IF(策划表!R136="","",策划表!R136)</f>
        <v/>
      </c>
      <c r="Y136" t="str">
        <f>IF(策划表!S136="","",策划表!S136)</f>
        <v/>
      </c>
    </row>
    <row r="137" spans="1:25" x14ac:dyDescent="0.15">
      <c r="A137">
        <f>策划表!A137</f>
        <v>1102801</v>
      </c>
      <c r="B137" t="str">
        <f>IF(策划表!B137="","",策划表!B137)</f>
        <v>沃克</v>
      </c>
      <c r="C137" t="str">
        <f t="shared" si="12"/>
        <v>t_director_title_1102801</v>
      </c>
      <c r="D137" t="str">
        <f>IF(策划表!C137="","",策划表!C137)</f>
        <v>多谢阁下，您真是人类未来的希望。</v>
      </c>
      <c r="E137" t="str">
        <f t="shared" si="13"/>
        <v>t_director_dialog_1102801</v>
      </c>
      <c r="F137" t="str">
        <f>IF(策划表!D137="","",策划表!D137)</f>
        <v>…</v>
      </c>
      <c r="G137" t="str">
        <f t="shared" si="14"/>
        <v>t_director_option0_1102801</v>
      </c>
      <c r="H137" t="str">
        <f>IF(策划表!E137="","",策划表!E137)</f>
        <v/>
      </c>
      <c r="I137">
        <f>IF(策划表!F137="","",策划表!F137)</f>
        <v>1102702</v>
      </c>
      <c r="J137" t="str">
        <f>IF(策划表!G137="","",策划表!G137)</f>
        <v/>
      </c>
      <c r="K137" t="str">
        <f>IF(策划表!H137="","",策划表!H137)</f>
        <v>少废话，快说神殿的密谋</v>
      </c>
      <c r="L137" t="str">
        <f t="shared" si="15"/>
        <v>t_director_option1_1102801</v>
      </c>
      <c r="M137" t="str">
        <f>IF(策划表!I137="","",策划表!I137)</f>
        <v/>
      </c>
      <c r="N137">
        <f>IF(策划表!J137="","",策划表!J137)</f>
        <v>1102702</v>
      </c>
      <c r="O137" t="str">
        <f>IF(策划表!K137="","",策划表!K137)</f>
        <v/>
      </c>
      <c r="P137" t="str">
        <f>IF(策划表!L137="","",策划表!L137)</f>
        <v/>
      </c>
      <c r="Q137" t="str">
        <f t="shared" si="16"/>
        <v>t_director_option2_1102801</v>
      </c>
      <c r="R137" t="str">
        <f>IF(策划表!M137="","",策划表!M137)</f>
        <v/>
      </c>
      <c r="S137" t="str">
        <f>IF(策划表!N137="","",策划表!N137)</f>
        <v/>
      </c>
      <c r="T137" t="str">
        <f>IF(策划表!O137="","",策划表!O137)</f>
        <v/>
      </c>
      <c r="U137" t="str">
        <f>IF(策划表!P137="","",策划表!P137)</f>
        <v/>
      </c>
      <c r="V137" t="str">
        <f t="shared" si="17"/>
        <v>t_director_option3_1102801</v>
      </c>
      <c r="W137" t="str">
        <f>IF(策划表!Q137="","",策划表!Q137)</f>
        <v/>
      </c>
      <c r="X137" t="str">
        <f>IF(策划表!R137="","",策划表!R137)</f>
        <v/>
      </c>
      <c r="Y137" t="str">
        <f>IF(策划表!S137="","",策划表!S137)</f>
        <v/>
      </c>
    </row>
    <row r="138" spans="1:25" x14ac:dyDescent="0.15">
      <c r="A138">
        <f>策划表!A138</f>
        <v>1102802</v>
      </c>
      <c r="B138" t="str">
        <f>IF(策划表!B138="","",策划表!B138)</f>
        <v>沃克</v>
      </c>
      <c r="C138" t="str">
        <f t="shared" si="12"/>
        <v>t_director_title_1102802</v>
      </c>
      <c r="D138" t="str">
        <f>IF(策划表!C138="","",策划表!C138)</f>
        <v>阁下放心，我会守约的。</v>
      </c>
      <c r="E138" t="str">
        <f t="shared" si="13"/>
        <v>t_director_dialog_1102802</v>
      </c>
      <c r="F138" t="str">
        <f>IF(策划表!D138="","",策划表!D138)</f>
        <v>…</v>
      </c>
      <c r="G138" t="str">
        <f t="shared" si="14"/>
        <v>t_director_option0_1102802</v>
      </c>
      <c r="H138" t="str">
        <f>IF(策划表!E138="","",策划表!E138)</f>
        <v/>
      </c>
      <c r="I138">
        <f>IF(策划表!F138="","",策划表!F138)</f>
        <v>1102703</v>
      </c>
      <c r="J138" t="str">
        <f>IF(策划表!G138="","",策划表!G138)</f>
        <v/>
      </c>
      <c r="K138" t="str">
        <f>IF(策划表!H138="","",策划表!H138)</f>
        <v/>
      </c>
      <c r="L138" t="str">
        <f t="shared" si="15"/>
        <v>t_director_option1_1102802</v>
      </c>
      <c r="M138" t="str">
        <f>IF(策划表!I138="","",策划表!I138)</f>
        <v/>
      </c>
      <c r="N138" t="str">
        <f>IF(策划表!J138="","",策划表!J138)</f>
        <v/>
      </c>
      <c r="O138" t="str">
        <f>IF(策划表!K138="","",策划表!K138)</f>
        <v/>
      </c>
      <c r="P138" t="str">
        <f>IF(策划表!L138="","",策划表!L138)</f>
        <v/>
      </c>
      <c r="Q138" t="str">
        <f t="shared" si="16"/>
        <v>t_director_option2_1102802</v>
      </c>
      <c r="R138" t="str">
        <f>IF(策划表!M138="","",策划表!M138)</f>
        <v/>
      </c>
      <c r="S138" t="str">
        <f>IF(策划表!N138="","",策划表!N138)</f>
        <v/>
      </c>
      <c r="T138" t="str">
        <f>IF(策划表!O138="","",策划表!O138)</f>
        <v/>
      </c>
      <c r="U138" t="str">
        <f>IF(策划表!P138="","",策划表!P138)</f>
        <v/>
      </c>
      <c r="V138" t="str">
        <f t="shared" si="17"/>
        <v>t_director_option3_1102802</v>
      </c>
      <c r="W138" t="str">
        <f>IF(策划表!Q138="","",策划表!Q138)</f>
        <v/>
      </c>
      <c r="X138" t="str">
        <f>IF(策划表!R138="","",策划表!R138)</f>
        <v/>
      </c>
      <c r="Y138" t="str">
        <f>IF(策划表!S138="","",策划表!S138)</f>
        <v/>
      </c>
    </row>
    <row r="139" spans="1:25" x14ac:dyDescent="0.15">
      <c r="A139">
        <f>策划表!A139</f>
        <v>1102803</v>
      </c>
      <c r="B139" t="str">
        <f>IF(策划表!B139="","",策划表!B139)</f>
        <v>沃克</v>
      </c>
      <c r="C139" t="str">
        <f t="shared" si="12"/>
        <v>t_director_title_1102803</v>
      </c>
      <c r="D139" t="str">
        <f>IF(策划表!C139="","",策划表!C139)</f>
        <v>神殿的圣子要去沃野沼泽，去进攻蜥蜴人的部落。</v>
      </c>
      <c r="E139" t="str">
        <f t="shared" si="13"/>
        <v>t_director_dialog_1102803</v>
      </c>
      <c r="F139" t="str">
        <f>IF(策划表!D139="","",策划表!D139)</f>
        <v>…</v>
      </c>
      <c r="G139" t="str">
        <f t="shared" si="14"/>
        <v>t_director_option0_1102803</v>
      </c>
      <c r="H139" t="str">
        <f>IF(策划表!E139="","",策划表!E139)</f>
        <v/>
      </c>
      <c r="I139">
        <f>IF(策划表!F139="","",策划表!F139)</f>
        <v>1102704</v>
      </c>
      <c r="J139" t="str">
        <f>IF(策划表!G139="","",策划表!G139)</f>
        <v/>
      </c>
      <c r="K139" t="str">
        <f>IF(策划表!H139="","",策划表!H139)</f>
        <v/>
      </c>
      <c r="L139" t="str">
        <f t="shared" si="15"/>
        <v>t_director_option1_1102803</v>
      </c>
      <c r="M139" t="str">
        <f>IF(策划表!I139="","",策划表!I139)</f>
        <v/>
      </c>
      <c r="N139" t="str">
        <f>IF(策划表!J139="","",策划表!J139)</f>
        <v/>
      </c>
      <c r="O139" t="str">
        <f>IF(策划表!K139="","",策划表!K139)</f>
        <v/>
      </c>
      <c r="P139" t="str">
        <f>IF(策划表!L139="","",策划表!L139)</f>
        <v/>
      </c>
      <c r="Q139" t="str">
        <f t="shared" si="16"/>
        <v>t_director_option2_1102803</v>
      </c>
      <c r="R139" t="str">
        <f>IF(策划表!M139="","",策划表!M139)</f>
        <v/>
      </c>
      <c r="S139" t="str">
        <f>IF(策划表!N139="","",策划表!N139)</f>
        <v/>
      </c>
      <c r="T139" t="str">
        <f>IF(策划表!O139="","",策划表!O139)</f>
        <v/>
      </c>
      <c r="U139" t="str">
        <f>IF(策划表!P139="","",策划表!P139)</f>
        <v/>
      </c>
      <c r="V139" t="str">
        <f t="shared" si="17"/>
        <v>t_director_option3_1102803</v>
      </c>
      <c r="W139" t="str">
        <f>IF(策划表!Q139="","",策划表!Q139)</f>
        <v/>
      </c>
      <c r="X139" t="str">
        <f>IF(策划表!R139="","",策划表!R139)</f>
        <v/>
      </c>
      <c r="Y139" t="str">
        <f>IF(策划表!S139="","",策划表!S139)</f>
        <v/>
      </c>
    </row>
    <row r="140" spans="1:25" x14ac:dyDescent="0.15">
      <c r="A140">
        <f>策划表!A140</f>
        <v>1102804</v>
      </c>
      <c r="B140" t="str">
        <f>IF(策划表!B140="","",策划表!B140)</f>
        <v>沃克</v>
      </c>
      <c r="C140" t="str">
        <f t="shared" si="12"/>
        <v>t_director_title_1102804</v>
      </c>
      <c r="D140" t="str">
        <f>IF(策划表!C140="","",策划表!C140)</f>
        <v>士兵被征召，如果成功就永远归属神殿了。到时候，神殿就更势大了。</v>
      </c>
      <c r="E140" t="str">
        <f t="shared" si="13"/>
        <v>t_director_dialog_1102804</v>
      </c>
      <c r="F140" t="str">
        <f>IF(策划表!D140="","",策划表!D140)</f>
        <v>我知道了</v>
      </c>
      <c r="G140" t="str">
        <f t="shared" si="14"/>
        <v>t_director_option0_1102804</v>
      </c>
      <c r="H140" t="str">
        <f>IF(策划表!E140="","",策划表!E140)</f>
        <v/>
      </c>
      <c r="I140">
        <f>IF(策划表!F140="","",策划表!F140)</f>
        <v>1102705</v>
      </c>
      <c r="J140" t="str">
        <f>IF(策划表!G140="","",策划表!G140)</f>
        <v/>
      </c>
      <c r="K140" t="str">
        <f>IF(策划表!H140="","",策划表!H140)</f>
        <v/>
      </c>
      <c r="L140" t="str">
        <f t="shared" si="15"/>
        <v>t_director_option1_1102804</v>
      </c>
      <c r="M140" t="str">
        <f>IF(策划表!I140="","",策划表!I140)</f>
        <v/>
      </c>
      <c r="N140" t="str">
        <f>IF(策划表!J140="","",策划表!J140)</f>
        <v/>
      </c>
      <c r="O140" t="str">
        <f>IF(策划表!K140="","",策划表!K140)</f>
        <v/>
      </c>
      <c r="P140" t="str">
        <f>IF(策划表!L140="","",策划表!L140)</f>
        <v/>
      </c>
      <c r="Q140" t="str">
        <f t="shared" si="16"/>
        <v>t_director_option2_1102804</v>
      </c>
      <c r="R140" t="str">
        <f>IF(策划表!M140="","",策划表!M140)</f>
        <v/>
      </c>
      <c r="S140" t="str">
        <f>IF(策划表!N140="","",策划表!N140)</f>
        <v/>
      </c>
      <c r="T140" t="str">
        <f>IF(策划表!O140="","",策划表!O140)</f>
        <v/>
      </c>
      <c r="U140" t="str">
        <f>IF(策划表!P140="","",策划表!P140)</f>
        <v/>
      </c>
      <c r="V140" t="str">
        <f t="shared" si="17"/>
        <v>t_director_option3_1102804</v>
      </c>
      <c r="W140" t="str">
        <f>IF(策划表!Q140="","",策划表!Q140)</f>
        <v/>
      </c>
      <c r="X140" t="str">
        <f>IF(策划表!R140="","",策划表!R140)</f>
        <v/>
      </c>
      <c r="Y140" t="str">
        <f>IF(策划表!S140="","",策划表!S140)</f>
        <v/>
      </c>
    </row>
    <row r="141" spans="1:25" x14ac:dyDescent="0.15">
      <c r="A141">
        <f>策划表!A141</f>
        <v>1102805</v>
      </c>
      <c r="B141" t="str">
        <f>IF(策划表!B141="","",策划表!B141)</f>
        <v>沃克</v>
      </c>
      <c r="C141" t="str">
        <f t="shared" si="12"/>
        <v>t_director_title_1102805</v>
      </c>
      <c r="D141" t="str">
        <f>IF(策划表!C141="","",策划表!C141)</f>
        <v>冒险者阁下，我先回城了。再见。</v>
      </c>
      <c r="E141" t="str">
        <f t="shared" si="13"/>
        <v>t_director_dialog_1102805</v>
      </c>
      <c r="F141" t="str">
        <f>IF(策划表!D141="","",策划表!D141)</f>
        <v>…</v>
      </c>
      <c r="G141" t="str">
        <f t="shared" si="14"/>
        <v>t_director_option0_1102805</v>
      </c>
      <c r="H141">
        <f>IF(策划表!E141="","",策划表!E141)</f>
        <v>1</v>
      </c>
      <c r="I141" t="str">
        <f>IF(策划表!F141="","",策划表!F141)</f>
        <v/>
      </c>
      <c r="J141" t="str">
        <f>IF(策划表!G141="","",策划表!G141)</f>
        <v/>
      </c>
      <c r="K141" t="str">
        <f>IF(策划表!H141="","",策划表!H141)</f>
        <v/>
      </c>
      <c r="L141" t="str">
        <f t="shared" si="15"/>
        <v>t_director_option1_1102805</v>
      </c>
      <c r="M141" t="str">
        <f>IF(策划表!I141="","",策划表!I141)</f>
        <v/>
      </c>
      <c r="N141" t="str">
        <f>IF(策划表!J141="","",策划表!J141)</f>
        <v/>
      </c>
      <c r="O141" t="str">
        <f>IF(策划表!K141="","",策划表!K141)</f>
        <v/>
      </c>
      <c r="P141" t="str">
        <f>IF(策划表!L141="","",策划表!L141)</f>
        <v/>
      </c>
      <c r="Q141" t="str">
        <f t="shared" si="16"/>
        <v>t_director_option2_1102805</v>
      </c>
      <c r="R141" t="str">
        <f>IF(策划表!M141="","",策划表!M141)</f>
        <v/>
      </c>
      <c r="S141" t="str">
        <f>IF(策划表!N141="","",策划表!N141)</f>
        <v/>
      </c>
      <c r="T141" t="str">
        <f>IF(策划表!O141="","",策划表!O141)</f>
        <v/>
      </c>
      <c r="U141" t="str">
        <f>IF(策划表!P141="","",策划表!P141)</f>
        <v/>
      </c>
      <c r="V141" t="str">
        <f t="shared" si="17"/>
        <v>t_director_option3_1102805</v>
      </c>
      <c r="W141" t="str">
        <f>IF(策划表!Q141="","",策划表!Q141)</f>
        <v/>
      </c>
      <c r="X141" t="str">
        <f>IF(策划表!R141="","",策划表!R141)</f>
        <v/>
      </c>
      <c r="Y141" t="str">
        <f>IF(策划表!S141="","",策划表!S141)</f>
        <v/>
      </c>
    </row>
    <row r="142" spans="1:25" x14ac:dyDescent="0.15">
      <c r="A142">
        <f>策划表!A142</f>
        <v>1102900</v>
      </c>
      <c r="B142" t="str">
        <f>IF(策划表!B142="","",策划表!B142)</f>
        <v>皮特曼</v>
      </c>
      <c r="C142" t="str">
        <f t="shared" si="12"/>
        <v>t_director_title_1102900</v>
      </c>
      <c r="D142" t="str">
        <f>IF(策划表!C142="","",策划表!C142)</f>
        <v>又见面了，冒险者。</v>
      </c>
      <c r="E142" t="str">
        <f t="shared" si="13"/>
        <v>t_director_dialog_1102900</v>
      </c>
      <c r="F142" t="str">
        <f>IF(策划表!D142="","",策划表!D142)</f>
        <v>你怎么还在这里</v>
      </c>
      <c r="G142" t="str">
        <f t="shared" si="14"/>
        <v>t_director_option0_1102900</v>
      </c>
      <c r="H142" t="str">
        <f>IF(策划表!E142="","",策划表!E142)</f>
        <v/>
      </c>
      <c r="I142">
        <f>IF(策划表!F142="","",策划表!F142)</f>
        <v>1102901</v>
      </c>
      <c r="J142" t="str">
        <f>IF(策划表!G142="","",策划表!G142)</f>
        <v/>
      </c>
      <c r="K142" t="str">
        <f>IF(策划表!H142="","",策划表!H142)</f>
        <v>离开</v>
      </c>
      <c r="L142" t="str">
        <f t="shared" si="15"/>
        <v>t_director_option1_1102900</v>
      </c>
      <c r="M142">
        <f>IF(策划表!I142="","",策划表!I142)</f>
        <v>2</v>
      </c>
      <c r="N142" t="str">
        <f>IF(策划表!J142="","",策划表!J142)</f>
        <v/>
      </c>
      <c r="O142" t="str">
        <f>IF(策划表!K142="","",策划表!K142)</f>
        <v/>
      </c>
      <c r="P142" t="str">
        <f>IF(策划表!L142="","",策划表!L142)</f>
        <v/>
      </c>
      <c r="Q142" t="str">
        <f t="shared" si="16"/>
        <v>t_director_option2_1102900</v>
      </c>
      <c r="R142" t="str">
        <f>IF(策划表!M142="","",策划表!M142)</f>
        <v/>
      </c>
      <c r="S142" t="str">
        <f>IF(策划表!N142="","",策划表!N142)</f>
        <v/>
      </c>
      <c r="T142" t="str">
        <f>IF(策划表!O142="","",策划表!O142)</f>
        <v/>
      </c>
      <c r="U142" t="str">
        <f>IF(策划表!P142="","",策划表!P142)</f>
        <v/>
      </c>
      <c r="V142" t="str">
        <f t="shared" si="17"/>
        <v>t_director_option3_1102900</v>
      </c>
      <c r="W142" t="str">
        <f>IF(策划表!Q142="","",策划表!Q142)</f>
        <v/>
      </c>
      <c r="X142" t="str">
        <f>IF(策划表!R142="","",策划表!R142)</f>
        <v/>
      </c>
      <c r="Y142" t="str">
        <f>IF(策划表!S142="","",策划表!S142)</f>
        <v/>
      </c>
    </row>
    <row r="143" spans="1:25" x14ac:dyDescent="0.15">
      <c r="A143">
        <f>策划表!A143</f>
        <v>1102901</v>
      </c>
      <c r="B143" t="str">
        <f>IF(策划表!B143="","",策划表!B143)</f>
        <v>皮特曼</v>
      </c>
      <c r="C143" t="str">
        <f t="shared" si="12"/>
        <v>t_director_title_1102901</v>
      </c>
      <c r="D143" t="str">
        <f>IF(策划表!C143="","",策划表!C143)</f>
        <v>嘿嘿，阁下，我哥布林先知的宝玉是好东西啊，阁下能帮我猎取到吗？</v>
      </c>
      <c r="E143" t="str">
        <f t="shared" si="13"/>
        <v>t_director_dialog_1102901</v>
      </c>
      <c r="F143" t="str">
        <f>IF(策划表!D143="","",策划表!D143)</f>
        <v>好的</v>
      </c>
      <c r="G143" t="str">
        <f t="shared" si="14"/>
        <v>t_director_option0_1102901</v>
      </c>
      <c r="H143">
        <f>IF(策划表!E143="","",策划表!E143)</f>
        <v>1</v>
      </c>
      <c r="I143" t="str">
        <f>IF(策划表!F143="","",策划表!F143)</f>
        <v/>
      </c>
      <c r="J143" t="str">
        <f>IF(策划表!G143="","",策划表!G143)</f>
        <v/>
      </c>
      <c r="K143" t="str">
        <f>IF(策划表!H143="","",策划表!H143)</f>
        <v>离开</v>
      </c>
      <c r="L143" t="str">
        <f t="shared" si="15"/>
        <v>t_director_option1_1102901</v>
      </c>
      <c r="M143">
        <f>IF(策划表!I143="","",策划表!I143)</f>
        <v>2</v>
      </c>
      <c r="N143" t="str">
        <f>IF(策划表!J143="","",策划表!J143)</f>
        <v/>
      </c>
      <c r="O143" t="str">
        <f>IF(策划表!K143="","",策划表!K143)</f>
        <v/>
      </c>
      <c r="P143" t="str">
        <f>IF(策划表!L143="","",策划表!L143)</f>
        <v/>
      </c>
      <c r="Q143" t="str">
        <f t="shared" si="16"/>
        <v>t_director_option2_1102901</v>
      </c>
      <c r="R143" t="str">
        <f>IF(策划表!M143="","",策划表!M143)</f>
        <v/>
      </c>
      <c r="S143" t="str">
        <f>IF(策划表!N143="","",策划表!N143)</f>
        <v/>
      </c>
      <c r="T143" t="str">
        <f>IF(策划表!O143="","",策划表!O143)</f>
        <v/>
      </c>
      <c r="U143" t="str">
        <f>IF(策划表!P143="","",策划表!P143)</f>
        <v/>
      </c>
      <c r="V143" t="str">
        <f t="shared" si="17"/>
        <v>t_director_option3_1102901</v>
      </c>
      <c r="W143" t="str">
        <f>IF(策划表!Q143="","",策划表!Q143)</f>
        <v/>
      </c>
      <c r="X143" t="str">
        <f>IF(策划表!R143="","",策划表!R143)</f>
        <v/>
      </c>
      <c r="Y143" t="str">
        <f>IF(策划表!S143="","",策划表!S143)</f>
        <v/>
      </c>
    </row>
    <row r="144" spans="1:25" x14ac:dyDescent="0.15">
      <c r="A144">
        <f>策划表!A144</f>
        <v>1103000</v>
      </c>
      <c r="B144" t="str">
        <f>IF(策划表!B144="","",策划表!B144)</f>
        <v>皮特曼</v>
      </c>
      <c r="C144" t="str">
        <f t="shared" si="12"/>
        <v>t_director_title_1103000</v>
      </c>
      <c r="D144" t="str">
        <f>IF(策划表!C144="","",策划表!C144)</f>
        <v>阁下，你猎取到宝玉没？</v>
      </c>
      <c r="E144" t="str">
        <f t="shared" si="13"/>
        <v>t_director_dialog_1103000</v>
      </c>
      <c r="F144" t="str">
        <f>IF(策划表!D144="","",策划表!D144)</f>
        <v>交纳宝玉</v>
      </c>
      <c r="G144" t="str">
        <f t="shared" si="14"/>
        <v>t_director_option0_1103000</v>
      </c>
      <c r="H144">
        <f>IF(策划表!E144="","",策划表!E144)</f>
        <v>1</v>
      </c>
      <c r="I144">
        <f>IF(策划表!F144="","",策划表!F144)</f>
        <v>1103001</v>
      </c>
      <c r="J144" t="str">
        <f>IF(策划表!G144="","",策划表!G144)</f>
        <v/>
      </c>
      <c r="K144" t="str">
        <f>IF(策划表!H144="","",策划表!H144)</f>
        <v/>
      </c>
      <c r="L144" t="str">
        <f t="shared" si="15"/>
        <v>t_director_option1_1103000</v>
      </c>
      <c r="M144" t="str">
        <f>IF(策划表!I144="","",策划表!I144)</f>
        <v/>
      </c>
      <c r="N144" t="str">
        <f>IF(策划表!J144="","",策划表!J144)</f>
        <v/>
      </c>
      <c r="O144" t="str">
        <f>IF(策划表!K144="","",策划表!K144)</f>
        <v/>
      </c>
      <c r="P144" t="str">
        <f>IF(策划表!L144="","",策划表!L144)</f>
        <v/>
      </c>
      <c r="Q144" t="str">
        <f t="shared" si="16"/>
        <v>t_director_option2_1103000</v>
      </c>
      <c r="R144" t="str">
        <f>IF(策划表!M144="","",策划表!M144)</f>
        <v/>
      </c>
      <c r="S144" t="str">
        <f>IF(策划表!N144="","",策划表!N144)</f>
        <v/>
      </c>
      <c r="T144" t="str">
        <f>IF(策划表!O144="","",策划表!O144)</f>
        <v/>
      </c>
      <c r="U144" t="str">
        <f>IF(策划表!P144="","",策划表!P144)</f>
        <v/>
      </c>
      <c r="V144" t="str">
        <f t="shared" si="17"/>
        <v>t_director_option3_1103000</v>
      </c>
      <c r="W144" t="str">
        <f>IF(策划表!Q144="","",策划表!Q144)</f>
        <v/>
      </c>
      <c r="X144" t="str">
        <f>IF(策划表!R144="","",策划表!R144)</f>
        <v/>
      </c>
      <c r="Y144" t="str">
        <f>IF(策划表!S144="","",策划表!S144)</f>
        <v/>
      </c>
    </row>
    <row r="145" spans="1:25" x14ac:dyDescent="0.15">
      <c r="A145">
        <f>策划表!A145</f>
        <v>1103001</v>
      </c>
      <c r="B145" t="str">
        <f>IF(策划表!B145="","",策划表!B145)</f>
        <v>皮特曼</v>
      </c>
      <c r="C145" t="str">
        <f t="shared" si="12"/>
        <v>t_director_title_1103001</v>
      </c>
      <c r="D145" t="str">
        <f>IF(策划表!C145="","",策划表!C145)</f>
        <v>阁下真是强大</v>
      </c>
      <c r="E145" t="str">
        <f t="shared" si="13"/>
        <v>t_director_dialog_1103001</v>
      </c>
      <c r="F145" t="str">
        <f>IF(策划表!D145="","",策划表!D145)</f>
        <v>…</v>
      </c>
      <c r="G145" t="str">
        <f t="shared" si="14"/>
        <v>t_director_option0_1103001</v>
      </c>
      <c r="H145" t="str">
        <f>IF(策划表!E145="","",策划表!E145)</f>
        <v/>
      </c>
      <c r="I145">
        <f>IF(策划表!F145="","",策划表!F145)</f>
        <v>1103001</v>
      </c>
      <c r="J145" t="str">
        <f>IF(策划表!G145="","",策划表!G145)</f>
        <v/>
      </c>
      <c r="K145" t="str">
        <f>IF(策划表!H145="","",策划表!H145)</f>
        <v/>
      </c>
      <c r="L145" t="str">
        <f t="shared" si="15"/>
        <v>t_director_option1_1103001</v>
      </c>
      <c r="M145" t="str">
        <f>IF(策划表!I145="","",策划表!I145)</f>
        <v/>
      </c>
      <c r="N145" t="str">
        <f>IF(策划表!J145="","",策划表!J145)</f>
        <v/>
      </c>
      <c r="O145" t="str">
        <f>IF(策划表!K145="","",策划表!K145)</f>
        <v/>
      </c>
      <c r="P145" t="str">
        <f>IF(策划表!L145="","",策划表!L145)</f>
        <v/>
      </c>
      <c r="Q145" t="str">
        <f t="shared" si="16"/>
        <v>t_director_option2_1103001</v>
      </c>
      <c r="R145" t="str">
        <f>IF(策划表!M145="","",策划表!M145)</f>
        <v/>
      </c>
      <c r="S145" t="str">
        <f>IF(策划表!N145="","",策划表!N145)</f>
        <v/>
      </c>
      <c r="T145" t="str">
        <f>IF(策划表!O145="","",策划表!O145)</f>
        <v/>
      </c>
      <c r="U145" t="str">
        <f>IF(策划表!P145="","",策划表!P145)</f>
        <v/>
      </c>
      <c r="V145" t="str">
        <f t="shared" si="17"/>
        <v>t_director_option3_1103001</v>
      </c>
      <c r="W145" t="str">
        <f>IF(策划表!Q145="","",策划表!Q145)</f>
        <v/>
      </c>
      <c r="X145" t="str">
        <f>IF(策划表!R145="","",策划表!R145)</f>
        <v/>
      </c>
      <c r="Y145" t="str">
        <f>IF(策划表!S145="","",策划表!S145)</f>
        <v/>
      </c>
    </row>
    <row r="146" spans="1:25" x14ac:dyDescent="0.15">
      <c r="A146">
        <f>策划表!A146</f>
        <v>1103002</v>
      </c>
      <c r="B146" t="str">
        <f>IF(策划表!B146="","",策划表!B146)</f>
        <v>皮特曼</v>
      </c>
      <c r="C146" t="str">
        <f t="shared" si="12"/>
        <v>t_director_title_1103002</v>
      </c>
      <c r="D146" t="str">
        <f>IF(策划表!C146="","",策划表!C146)</f>
        <v>阁下，我新接到的任务是：等待援军，肃清哥布林，任务时限马上就到，可是援军迟迟不到。</v>
      </c>
      <c r="E146" t="str">
        <f t="shared" si="13"/>
        <v>t_director_dialog_1103002</v>
      </c>
      <c r="F146" t="str">
        <f>IF(策划表!D146="","",策划表!D146)</f>
        <v>…</v>
      </c>
      <c r="G146" t="str">
        <f t="shared" si="14"/>
        <v>t_director_option0_1103002</v>
      </c>
      <c r="H146" t="str">
        <f>IF(策划表!E146="","",策划表!E146)</f>
        <v/>
      </c>
      <c r="I146">
        <f>IF(策划表!F146="","",策划表!F146)</f>
        <v>1103001</v>
      </c>
      <c r="J146" t="str">
        <f>IF(策划表!G146="","",策划表!G146)</f>
        <v/>
      </c>
      <c r="K146" t="str">
        <f>IF(策划表!H146="","",策划表!H146)</f>
        <v/>
      </c>
      <c r="L146" t="str">
        <f t="shared" si="15"/>
        <v>t_director_option1_1103002</v>
      </c>
      <c r="M146" t="str">
        <f>IF(策划表!I146="","",策划表!I146)</f>
        <v/>
      </c>
      <c r="N146" t="str">
        <f>IF(策划表!J146="","",策划表!J146)</f>
        <v/>
      </c>
      <c r="O146" t="str">
        <f>IF(策划表!K146="","",策划表!K146)</f>
        <v/>
      </c>
      <c r="P146" t="str">
        <f>IF(策划表!L146="","",策划表!L146)</f>
        <v/>
      </c>
      <c r="Q146" t="str">
        <f t="shared" si="16"/>
        <v>t_director_option2_1103002</v>
      </c>
      <c r="R146" t="str">
        <f>IF(策划表!M146="","",策划表!M146)</f>
        <v/>
      </c>
      <c r="S146" t="str">
        <f>IF(策划表!N146="","",策划表!N146)</f>
        <v/>
      </c>
      <c r="T146" t="str">
        <f>IF(策划表!O146="","",策划表!O146)</f>
        <v/>
      </c>
      <c r="U146" t="str">
        <f>IF(策划表!P146="","",策划表!P146)</f>
        <v/>
      </c>
      <c r="V146" t="str">
        <f t="shared" si="17"/>
        <v>t_director_option3_1103002</v>
      </c>
      <c r="W146" t="str">
        <f>IF(策划表!Q146="","",策划表!Q146)</f>
        <v/>
      </c>
      <c r="X146" t="str">
        <f>IF(策划表!R146="","",策划表!R146)</f>
        <v/>
      </c>
      <c r="Y146" t="str">
        <f>IF(策划表!S146="","",策划表!S146)</f>
        <v/>
      </c>
    </row>
    <row r="147" spans="1:25" x14ac:dyDescent="0.15">
      <c r="A147">
        <f>策划表!A147</f>
        <v>1103003</v>
      </c>
      <c r="B147" t="str">
        <f>IF(策划表!B147="","",策划表!B147)</f>
        <v>皮特曼</v>
      </c>
      <c r="C147" t="str">
        <f t="shared" si="12"/>
        <v>t_director_title_1103003</v>
      </c>
      <c r="D147" t="str">
        <f>IF(策划表!C147="","",策划表!C147)</f>
        <v>所以，阁下能帮我讨伐这里的哥布林战士吗？</v>
      </c>
      <c r="E147" t="str">
        <f t="shared" si="13"/>
        <v>t_director_dialog_1103003</v>
      </c>
      <c r="F147" t="str">
        <f>IF(策划表!D147="","",策划表!D147)</f>
        <v>好的</v>
      </c>
      <c r="G147" t="str">
        <f t="shared" si="14"/>
        <v>t_director_option0_1103003</v>
      </c>
      <c r="H147">
        <f>IF(策划表!E147="","",策划表!E147)</f>
        <v>1</v>
      </c>
      <c r="I147" t="str">
        <f>IF(策划表!F147="","",策划表!F147)</f>
        <v/>
      </c>
      <c r="J147" t="str">
        <f>IF(策划表!G147="","",策划表!G147)</f>
        <v/>
      </c>
      <c r="K147" t="str">
        <f>IF(策划表!H147="","",策划表!H147)</f>
        <v>我还有事</v>
      </c>
      <c r="L147" t="str">
        <f t="shared" si="15"/>
        <v>t_director_option1_1103003</v>
      </c>
      <c r="M147">
        <f>IF(策划表!I147="","",策划表!I147)</f>
        <v>2</v>
      </c>
      <c r="N147" t="str">
        <f>IF(策划表!J147="","",策划表!J147)</f>
        <v/>
      </c>
      <c r="O147" t="str">
        <f>IF(策划表!K147="","",策划表!K147)</f>
        <v/>
      </c>
      <c r="P147" t="str">
        <f>IF(策划表!L147="","",策划表!L147)</f>
        <v/>
      </c>
      <c r="Q147" t="str">
        <f t="shared" si="16"/>
        <v>t_director_option2_1103003</v>
      </c>
      <c r="R147" t="str">
        <f>IF(策划表!M147="","",策划表!M147)</f>
        <v/>
      </c>
      <c r="S147" t="str">
        <f>IF(策划表!N147="","",策划表!N147)</f>
        <v/>
      </c>
      <c r="T147" t="str">
        <f>IF(策划表!O147="","",策划表!O147)</f>
        <v/>
      </c>
      <c r="U147" t="str">
        <f>IF(策划表!P147="","",策划表!P147)</f>
        <v/>
      </c>
      <c r="V147" t="str">
        <f t="shared" si="17"/>
        <v>t_director_option3_1103003</v>
      </c>
      <c r="W147" t="str">
        <f>IF(策划表!Q147="","",策划表!Q147)</f>
        <v/>
      </c>
      <c r="X147" t="str">
        <f>IF(策划表!R147="","",策划表!R147)</f>
        <v/>
      </c>
      <c r="Y147" t="str">
        <f>IF(策划表!S147="","",策划表!S147)</f>
        <v/>
      </c>
    </row>
    <row r="148" spans="1:25" x14ac:dyDescent="0.15">
      <c r="A148">
        <f>策划表!A148</f>
        <v>1103100</v>
      </c>
      <c r="B148" t="str">
        <f>IF(策划表!B148="","",策划表!B148)</f>
        <v>皮特曼</v>
      </c>
      <c r="C148" t="str">
        <f t="shared" si="12"/>
        <v>t_director_title_1103100</v>
      </c>
      <c r="D148" t="str">
        <f>IF(策划表!C148="","",策划表!C148)</f>
        <v>阁下，真是迅速啊！</v>
      </c>
      <c r="E148" t="str">
        <f t="shared" si="13"/>
        <v>t_director_dialog_1103100</v>
      </c>
      <c r="F148" t="str">
        <f>IF(策划表!D148="","",策划表!D148)</f>
        <v>…</v>
      </c>
      <c r="G148" t="str">
        <f t="shared" si="14"/>
        <v>t_director_option0_1103100</v>
      </c>
      <c r="H148" t="str">
        <f>IF(策划表!E148="","",策划表!E148)</f>
        <v/>
      </c>
      <c r="I148">
        <f>IF(策划表!F148="","",策划表!F148)</f>
        <v>1103101</v>
      </c>
      <c r="J148" t="str">
        <f>IF(策划表!G148="","",策划表!G148)</f>
        <v/>
      </c>
      <c r="K148" t="str">
        <f>IF(策划表!H148="","",策划表!H148)</f>
        <v/>
      </c>
      <c r="L148" t="str">
        <f t="shared" si="15"/>
        <v>t_director_option1_1103100</v>
      </c>
      <c r="M148" t="str">
        <f>IF(策划表!I148="","",策划表!I148)</f>
        <v/>
      </c>
      <c r="N148" t="str">
        <f>IF(策划表!J148="","",策划表!J148)</f>
        <v/>
      </c>
      <c r="O148" t="str">
        <f>IF(策划表!K148="","",策划表!K148)</f>
        <v/>
      </c>
      <c r="P148" t="str">
        <f>IF(策划表!L148="","",策划表!L148)</f>
        <v/>
      </c>
      <c r="Q148" t="str">
        <f t="shared" si="16"/>
        <v>t_director_option2_1103100</v>
      </c>
      <c r="R148" t="str">
        <f>IF(策划表!M148="","",策划表!M148)</f>
        <v/>
      </c>
      <c r="S148" t="str">
        <f>IF(策划表!N148="","",策划表!N148)</f>
        <v/>
      </c>
      <c r="T148" t="str">
        <f>IF(策划表!O148="","",策划表!O148)</f>
        <v/>
      </c>
      <c r="U148" t="str">
        <f>IF(策划表!P148="","",策划表!P148)</f>
        <v/>
      </c>
      <c r="V148" t="str">
        <f t="shared" si="17"/>
        <v>t_director_option3_1103100</v>
      </c>
      <c r="W148" t="str">
        <f>IF(策划表!Q148="","",策划表!Q148)</f>
        <v/>
      </c>
      <c r="X148" t="str">
        <f>IF(策划表!R148="","",策划表!R148)</f>
        <v/>
      </c>
      <c r="Y148" t="str">
        <f>IF(策划表!S148="","",策划表!S148)</f>
        <v/>
      </c>
    </row>
    <row r="149" spans="1:25" x14ac:dyDescent="0.15">
      <c r="A149">
        <f>策划表!A149</f>
        <v>1103101</v>
      </c>
      <c r="B149" t="str">
        <f>IF(策划表!B149="","",策划表!B149)</f>
        <v>皮特曼</v>
      </c>
      <c r="C149" t="str">
        <f t="shared" si="12"/>
        <v>t_director_title_1103101</v>
      </c>
      <c r="D149" t="str">
        <f>IF(策划表!C149="","",策划表!C149)</f>
        <v>阁下，接下来能帮我讨伐哥布林法师，获得他们的破碎的魔法结晶，我好交差。</v>
      </c>
      <c r="E149" t="str">
        <f t="shared" si="13"/>
        <v>t_director_dialog_1103101</v>
      </c>
      <c r="F149" t="str">
        <f>IF(策划表!D149="","",策划表!D149)</f>
        <v>好的</v>
      </c>
      <c r="G149" t="str">
        <f t="shared" si="14"/>
        <v>t_director_option0_1103101</v>
      </c>
      <c r="H149" t="str">
        <f>IF(策划表!E149="","",策划表!E149)</f>
        <v/>
      </c>
      <c r="I149" t="str">
        <f>IF(策划表!F149="","",策划表!F149)</f>
        <v/>
      </c>
      <c r="J149" t="str">
        <f>IF(策划表!G149="","",策划表!G149)</f>
        <v/>
      </c>
      <c r="K149" t="str">
        <f>IF(策划表!H149="","",策划表!H149)</f>
        <v/>
      </c>
      <c r="L149" t="str">
        <f t="shared" si="15"/>
        <v>t_director_option1_1103101</v>
      </c>
      <c r="M149" t="str">
        <f>IF(策划表!I149="","",策划表!I149)</f>
        <v/>
      </c>
      <c r="N149" t="str">
        <f>IF(策划表!J149="","",策划表!J149)</f>
        <v/>
      </c>
      <c r="O149" t="str">
        <f>IF(策划表!K149="","",策划表!K149)</f>
        <v/>
      </c>
      <c r="P149" t="str">
        <f>IF(策划表!L149="","",策划表!L149)</f>
        <v/>
      </c>
      <c r="Q149" t="str">
        <f t="shared" si="16"/>
        <v>t_director_option2_1103101</v>
      </c>
      <c r="R149" t="str">
        <f>IF(策划表!M149="","",策划表!M149)</f>
        <v/>
      </c>
      <c r="S149" t="str">
        <f>IF(策划表!N149="","",策划表!N149)</f>
        <v/>
      </c>
      <c r="T149" t="str">
        <f>IF(策划表!O149="","",策划表!O149)</f>
        <v/>
      </c>
      <c r="U149" t="str">
        <f>IF(策划表!P149="","",策划表!P149)</f>
        <v/>
      </c>
      <c r="V149" t="str">
        <f t="shared" si="17"/>
        <v>t_director_option3_1103101</v>
      </c>
      <c r="W149" t="str">
        <f>IF(策划表!Q149="","",策划表!Q149)</f>
        <v/>
      </c>
      <c r="X149" t="str">
        <f>IF(策划表!R149="","",策划表!R149)</f>
        <v/>
      </c>
      <c r="Y149" t="str">
        <f>IF(策划表!S149="","",策划表!S149)</f>
        <v/>
      </c>
    </row>
    <row r="150" spans="1:25" x14ac:dyDescent="0.15">
      <c r="A150">
        <f>策划表!A150</f>
        <v>1103200</v>
      </c>
      <c r="B150" t="str">
        <f>IF(策划表!B150="","",策划表!B150)</f>
        <v>皮特曼</v>
      </c>
      <c r="C150" t="str">
        <f t="shared" si="12"/>
        <v>t_director_title_1103200</v>
      </c>
      <c r="D150" t="str">
        <f>IF(策划表!C150="","",策划表!C150)</f>
        <v>阁下，你收集了破碎的魔法结晶吗？</v>
      </c>
      <c r="E150" t="str">
        <f t="shared" si="13"/>
        <v>t_director_dialog_1103200</v>
      </c>
      <c r="F150" t="str">
        <f>IF(策划表!D150="","",策划表!D150)</f>
        <v>收集好了</v>
      </c>
      <c r="G150" t="str">
        <f t="shared" si="14"/>
        <v>t_director_option0_1103200</v>
      </c>
      <c r="H150">
        <f>IF(策划表!E150="","",策划表!E150)</f>
        <v>1</v>
      </c>
      <c r="I150">
        <f>IF(策划表!F150="","",策划表!F150)</f>
        <v>1103201</v>
      </c>
      <c r="J150" t="str">
        <f>IF(策划表!G150="","",策划表!G150)</f>
        <v/>
      </c>
      <c r="K150" t="str">
        <f>IF(策划表!H150="","",策划表!H150)</f>
        <v/>
      </c>
      <c r="L150" t="str">
        <f t="shared" si="15"/>
        <v>t_director_option1_1103200</v>
      </c>
      <c r="M150" t="str">
        <f>IF(策划表!I150="","",策划表!I150)</f>
        <v/>
      </c>
      <c r="N150" t="str">
        <f>IF(策划表!J150="","",策划表!J150)</f>
        <v/>
      </c>
      <c r="O150" t="str">
        <f>IF(策划表!K150="","",策划表!K150)</f>
        <v/>
      </c>
      <c r="P150" t="str">
        <f>IF(策划表!L150="","",策划表!L150)</f>
        <v/>
      </c>
      <c r="Q150" t="str">
        <f t="shared" si="16"/>
        <v>t_director_option2_1103200</v>
      </c>
      <c r="R150" t="str">
        <f>IF(策划表!M150="","",策划表!M150)</f>
        <v/>
      </c>
      <c r="S150" t="str">
        <f>IF(策划表!N150="","",策划表!N150)</f>
        <v/>
      </c>
      <c r="T150" t="str">
        <f>IF(策划表!O150="","",策划表!O150)</f>
        <v/>
      </c>
      <c r="U150" t="str">
        <f>IF(策划表!P150="","",策划表!P150)</f>
        <v/>
      </c>
      <c r="V150" t="str">
        <f t="shared" si="17"/>
        <v>t_director_option3_1103200</v>
      </c>
      <c r="W150" t="str">
        <f>IF(策划表!Q150="","",策划表!Q150)</f>
        <v/>
      </c>
      <c r="X150" t="str">
        <f>IF(策划表!R150="","",策划表!R150)</f>
        <v/>
      </c>
      <c r="Y150" t="str">
        <f>IF(策划表!S150="","",策划表!S150)</f>
        <v/>
      </c>
    </row>
    <row r="151" spans="1:25" x14ac:dyDescent="0.15">
      <c r="A151">
        <f>策划表!A151</f>
        <v>1103201</v>
      </c>
      <c r="B151" t="str">
        <f>IF(策划表!B151="","",策划表!B151)</f>
        <v>皮特曼</v>
      </c>
      <c r="C151" t="str">
        <f t="shared" si="12"/>
        <v>t_director_title_1103201</v>
      </c>
      <c r="D151" t="str">
        <f>IF(策划表!C151="","",策划表!C151)</f>
        <v>多谢阁下相助，不然我就被军法处置了。</v>
      </c>
      <c r="E151" t="str">
        <f t="shared" si="13"/>
        <v>t_director_dialog_1103201</v>
      </c>
      <c r="F151" t="str">
        <f>IF(策划表!D151="","",策划表!D151)</f>
        <v>…</v>
      </c>
      <c r="G151" t="str">
        <f t="shared" si="14"/>
        <v>t_director_option0_1103201</v>
      </c>
      <c r="H151">
        <f>IF(策划表!E151="","",策划表!E151)</f>
        <v>2</v>
      </c>
      <c r="I151" t="str">
        <f>IF(策划表!F151="","",策划表!F151)</f>
        <v/>
      </c>
      <c r="J151" t="str">
        <f>IF(策划表!G151="","",策划表!G151)</f>
        <v/>
      </c>
      <c r="K151" t="str">
        <f>IF(策划表!H151="","",策划表!H151)</f>
        <v/>
      </c>
      <c r="L151" t="str">
        <f t="shared" si="15"/>
        <v>t_director_option1_1103201</v>
      </c>
      <c r="M151" t="str">
        <f>IF(策划表!I151="","",策划表!I151)</f>
        <v/>
      </c>
      <c r="N151" t="str">
        <f>IF(策划表!J151="","",策划表!J151)</f>
        <v/>
      </c>
      <c r="O151" t="str">
        <f>IF(策划表!K151="","",策划表!K151)</f>
        <v/>
      </c>
      <c r="P151" t="str">
        <f>IF(策划表!L151="","",策划表!L151)</f>
        <v/>
      </c>
      <c r="Q151" t="str">
        <f t="shared" si="16"/>
        <v>t_director_option2_1103201</v>
      </c>
      <c r="R151" t="str">
        <f>IF(策划表!M151="","",策划表!M151)</f>
        <v/>
      </c>
      <c r="S151" t="str">
        <f>IF(策划表!N151="","",策划表!N151)</f>
        <v/>
      </c>
      <c r="T151" t="str">
        <f>IF(策划表!O151="","",策划表!O151)</f>
        <v/>
      </c>
      <c r="U151" t="str">
        <f>IF(策划表!P151="","",策划表!P151)</f>
        <v/>
      </c>
      <c r="V151" t="str">
        <f t="shared" si="17"/>
        <v>t_director_option3_1103201</v>
      </c>
      <c r="W151" t="str">
        <f>IF(策划表!Q151="","",策划表!Q151)</f>
        <v/>
      </c>
      <c r="X151" t="str">
        <f>IF(策划表!R151="","",策划表!R151)</f>
        <v/>
      </c>
      <c r="Y151" t="str">
        <f>IF(策划表!S151="","",策划表!S151)</f>
        <v/>
      </c>
    </row>
    <row r="152" spans="1:25" x14ac:dyDescent="0.15">
      <c r="A152">
        <f>策划表!A152</f>
        <v>1200100</v>
      </c>
      <c r="B152" t="str">
        <f>IF(策划表!B152="","",策划表!B152)</f>
        <v>熊</v>
      </c>
      <c r="C152" t="str">
        <f t="shared" si="12"/>
        <v>t_director_title_1200100</v>
      </c>
      <c r="D152" t="str">
        <f>IF(策划表!C152="","",策划表!C152)</f>
        <v>嗷唔！嗷唔！嗷唔！！（要战斗吗？战斗吗？战斗吗？）</v>
      </c>
      <c r="E152" t="str">
        <f t="shared" si="13"/>
        <v>t_director_dialog_1200100</v>
      </c>
      <c r="F152" t="str">
        <f>IF(策划表!D152="","",策划表!D152)</f>
        <v>是</v>
      </c>
      <c r="G152" t="str">
        <f t="shared" si="14"/>
        <v>t_director_option0_1200100</v>
      </c>
      <c r="H152">
        <f>IF(策划表!E152="","",策划表!E152)</f>
        <v>1</v>
      </c>
      <c r="I152" t="str">
        <f>IF(策划表!F152="","",策划表!F152)</f>
        <v/>
      </c>
      <c r="J152" t="str">
        <f>IF(策划表!G152="","",策划表!G152)</f>
        <v/>
      </c>
      <c r="K152" t="str">
        <f>IF(策划表!H152="","",策划表!H152)</f>
        <v>不是</v>
      </c>
      <c r="L152" t="str">
        <f t="shared" si="15"/>
        <v>t_director_option1_1200100</v>
      </c>
      <c r="M152">
        <f>IF(策划表!I152="","",策划表!I152)</f>
        <v>2</v>
      </c>
      <c r="N152" t="str">
        <f>IF(策划表!J152="","",策划表!J152)</f>
        <v/>
      </c>
      <c r="O152" t="str">
        <f>IF(策划表!K152="","",策划表!K152)</f>
        <v/>
      </c>
      <c r="P152" t="str">
        <f>IF(策划表!L152="","",策划表!L152)</f>
        <v/>
      </c>
      <c r="Q152" t="str">
        <f t="shared" si="16"/>
        <v>t_director_option2_1200100</v>
      </c>
      <c r="R152" t="str">
        <f>IF(策划表!M152="","",策划表!M152)</f>
        <v/>
      </c>
      <c r="S152" t="str">
        <f>IF(策划表!N152="","",策划表!N152)</f>
        <v/>
      </c>
      <c r="T152" t="str">
        <f>IF(策划表!O152="","",策划表!O152)</f>
        <v/>
      </c>
      <c r="U152" t="str">
        <f>IF(策划表!P152="","",策划表!P152)</f>
        <v/>
      </c>
      <c r="V152" t="str">
        <f t="shared" si="17"/>
        <v>t_director_option3_1200100</v>
      </c>
      <c r="W152" t="str">
        <f>IF(策划表!Q152="","",策划表!Q152)</f>
        <v/>
      </c>
      <c r="X152" t="str">
        <f>IF(策划表!R152="","",策划表!R152)</f>
        <v/>
      </c>
      <c r="Y152" t="str">
        <f>IF(策划表!S152="","",策划表!S152)</f>
        <v/>
      </c>
    </row>
    <row r="153" spans="1:25" x14ac:dyDescent="0.15">
      <c r="A153">
        <f>策划表!A153</f>
        <v>1200200</v>
      </c>
      <c r="B153" t="str">
        <f>IF(策划表!B153="","",策划表!B153)</f>
        <v>盗贼</v>
      </c>
      <c r="C153" t="str">
        <f t="shared" si="12"/>
        <v>t_director_title_1200200</v>
      </c>
      <c r="D153" t="str">
        <f>IF(策划表!C153="","",策划表!C153)</f>
        <v>猎物，你要和我战斗吗？</v>
      </c>
      <c r="E153" t="str">
        <f t="shared" si="13"/>
        <v>t_director_dialog_1200200</v>
      </c>
      <c r="F153" t="str">
        <f>IF(策划表!D153="","",策划表!D153)</f>
        <v>是</v>
      </c>
      <c r="G153" t="str">
        <f t="shared" si="14"/>
        <v>t_director_option0_1200200</v>
      </c>
      <c r="H153">
        <f>IF(策划表!E153="","",策划表!E153)</f>
        <v>1</v>
      </c>
      <c r="I153" t="str">
        <f>IF(策划表!F153="","",策划表!F153)</f>
        <v/>
      </c>
      <c r="J153" t="str">
        <f>IF(策划表!G153="","",策划表!G153)</f>
        <v/>
      </c>
      <c r="K153" t="str">
        <f>IF(策划表!H153="","",策划表!H153)</f>
        <v>不是</v>
      </c>
      <c r="L153" t="str">
        <f t="shared" si="15"/>
        <v>t_director_option1_1200200</v>
      </c>
      <c r="M153">
        <f>IF(策划表!I153="","",策划表!I153)</f>
        <v>2</v>
      </c>
      <c r="N153" t="str">
        <f>IF(策划表!J153="","",策划表!J153)</f>
        <v/>
      </c>
      <c r="O153" t="str">
        <f>IF(策划表!K153="","",策划表!K153)</f>
        <v/>
      </c>
      <c r="P153" t="str">
        <f>IF(策划表!L153="","",策划表!L153)</f>
        <v/>
      </c>
      <c r="Q153" t="str">
        <f t="shared" si="16"/>
        <v>t_director_option2_1200200</v>
      </c>
      <c r="R153" t="str">
        <f>IF(策划表!M153="","",策划表!M153)</f>
        <v/>
      </c>
      <c r="S153" t="str">
        <f>IF(策划表!N153="","",策划表!N153)</f>
        <v/>
      </c>
      <c r="T153" t="str">
        <f>IF(策划表!O153="","",策划表!O153)</f>
        <v/>
      </c>
      <c r="U153" t="str">
        <f>IF(策划表!P153="","",策划表!P153)</f>
        <v/>
      </c>
      <c r="V153" t="str">
        <f t="shared" si="17"/>
        <v>t_director_option3_1200200</v>
      </c>
      <c r="W153" t="str">
        <f>IF(策划表!Q153="","",策划表!Q153)</f>
        <v/>
      </c>
      <c r="X153" t="str">
        <f>IF(策划表!R153="","",策划表!R153)</f>
        <v/>
      </c>
      <c r="Y153" t="str">
        <f>IF(策划表!S153="","",策划表!S153)</f>
        <v/>
      </c>
    </row>
    <row r="154" spans="1:25" x14ac:dyDescent="0.15">
      <c r="A154">
        <f>策划表!A154</f>
        <v>1200300</v>
      </c>
      <c r="B154" t="str">
        <f>IF(策划表!B154="","",策划表!B154)</f>
        <v>哥布林狂战士</v>
      </c>
      <c r="C154" t="str">
        <f t="shared" si="12"/>
        <v>t_director_title_1200300</v>
      </c>
      <c r="D154" t="str">
        <f>IF(策划表!C154="","",策划表!C154)</f>
        <v>比咯比咯比咯比！（你要我战斗吗？人类。）</v>
      </c>
      <c r="E154" t="str">
        <f t="shared" si="13"/>
        <v>t_director_dialog_1200300</v>
      </c>
      <c r="F154" t="str">
        <f>IF(策划表!D154="","",策划表!D154)</f>
        <v>是</v>
      </c>
      <c r="G154" t="str">
        <f t="shared" si="14"/>
        <v>t_director_option0_1200300</v>
      </c>
      <c r="H154">
        <f>IF(策划表!E154="","",策划表!E154)</f>
        <v>1</v>
      </c>
      <c r="I154" t="str">
        <f>IF(策划表!F154="","",策划表!F154)</f>
        <v/>
      </c>
      <c r="J154" t="str">
        <f>IF(策划表!G154="","",策划表!G154)</f>
        <v/>
      </c>
      <c r="K154" t="str">
        <f>IF(策划表!H154="","",策划表!H154)</f>
        <v>不是</v>
      </c>
      <c r="L154" t="str">
        <f t="shared" si="15"/>
        <v>t_director_option1_1200300</v>
      </c>
      <c r="M154">
        <f>IF(策划表!I154="","",策划表!I154)</f>
        <v>2</v>
      </c>
      <c r="N154" t="str">
        <f>IF(策划表!J154="","",策划表!J154)</f>
        <v/>
      </c>
      <c r="O154" t="str">
        <f>IF(策划表!K154="","",策划表!K154)</f>
        <v/>
      </c>
      <c r="P154" t="str">
        <f>IF(策划表!L154="","",策划表!L154)</f>
        <v/>
      </c>
      <c r="Q154" t="str">
        <f t="shared" si="16"/>
        <v>t_director_option2_1200300</v>
      </c>
      <c r="R154" t="str">
        <f>IF(策划表!M154="","",策划表!M154)</f>
        <v/>
      </c>
      <c r="S154" t="str">
        <f>IF(策划表!N154="","",策划表!N154)</f>
        <v/>
      </c>
      <c r="T154" t="str">
        <f>IF(策划表!O154="","",策划表!O154)</f>
        <v/>
      </c>
      <c r="U154" t="str">
        <f>IF(策划表!P154="","",策划表!P154)</f>
        <v/>
      </c>
      <c r="V154" t="str">
        <f t="shared" si="17"/>
        <v>t_director_option3_1200300</v>
      </c>
      <c r="W154" t="str">
        <f>IF(策划表!Q154="","",策划表!Q154)</f>
        <v/>
      </c>
      <c r="X154" t="str">
        <f>IF(策划表!R154="","",策划表!R154)</f>
        <v/>
      </c>
      <c r="Y154" t="str">
        <f>IF(策划表!S154="","",策划表!S154)</f>
        <v/>
      </c>
    </row>
    <row r="155" spans="1:25" x14ac:dyDescent="0.15">
      <c r="A155">
        <f>策划表!A155</f>
        <v>1200400</v>
      </c>
      <c r="B155" t="str">
        <f>IF(策划表!B155="","",策划表!B155)</f>
        <v>哥布林大祭师</v>
      </c>
      <c r="C155" t="str">
        <f t="shared" si="12"/>
        <v>t_director_title_1200400</v>
      </c>
      <c r="D155" t="str">
        <f>IF(策划表!C155="","",策划表!C155)</f>
        <v>比咯比咯比！（人类，你是来和我战斗的？）</v>
      </c>
      <c r="E155" t="str">
        <f t="shared" si="13"/>
        <v>t_director_dialog_1200400</v>
      </c>
      <c r="F155" t="str">
        <f>IF(策划表!D155="","",策划表!D155)</f>
        <v>是</v>
      </c>
      <c r="G155" t="str">
        <f t="shared" si="14"/>
        <v>t_director_option0_1200400</v>
      </c>
      <c r="H155">
        <f>IF(策划表!E155="","",策划表!E155)</f>
        <v>1</v>
      </c>
      <c r="I155" t="str">
        <f>IF(策划表!F155="","",策划表!F155)</f>
        <v/>
      </c>
      <c r="J155" t="str">
        <f>IF(策划表!G155="","",策划表!G155)</f>
        <v/>
      </c>
      <c r="K155" t="str">
        <f>IF(策划表!H155="","",策划表!H155)</f>
        <v>不是</v>
      </c>
      <c r="L155" t="str">
        <f t="shared" si="15"/>
        <v>t_director_option1_1200400</v>
      </c>
      <c r="M155">
        <f>IF(策划表!I155="","",策划表!I155)</f>
        <v>2</v>
      </c>
      <c r="N155" t="str">
        <f>IF(策划表!J155="","",策划表!J155)</f>
        <v/>
      </c>
      <c r="O155" t="str">
        <f>IF(策划表!K155="","",策划表!K155)</f>
        <v/>
      </c>
      <c r="P155" t="str">
        <f>IF(策划表!L155="","",策划表!L155)</f>
        <v/>
      </c>
      <c r="Q155" t="str">
        <f t="shared" si="16"/>
        <v>t_director_option2_1200400</v>
      </c>
      <c r="R155" t="str">
        <f>IF(策划表!M155="","",策划表!M155)</f>
        <v/>
      </c>
      <c r="S155" t="str">
        <f>IF(策划表!N155="","",策划表!N155)</f>
        <v/>
      </c>
      <c r="T155" t="str">
        <f>IF(策划表!O155="","",策划表!O155)</f>
        <v/>
      </c>
      <c r="U155" t="str">
        <f>IF(策划表!P155="","",策划表!P155)</f>
        <v/>
      </c>
      <c r="V155" t="str">
        <f t="shared" si="17"/>
        <v>t_director_option3_1200400</v>
      </c>
      <c r="W155" t="str">
        <f>IF(策划表!Q155="","",策划表!Q155)</f>
        <v/>
      </c>
      <c r="X155" t="str">
        <f>IF(策划表!R155="","",策划表!R155)</f>
        <v/>
      </c>
      <c r="Y155" t="str">
        <f>IF(策划表!S155="","",策划表!S155)</f>
        <v/>
      </c>
    </row>
    <row r="156" spans="1:25" x14ac:dyDescent="0.15">
      <c r="A156">
        <f>策划表!A156</f>
        <v>2000000</v>
      </c>
      <c r="B156" t="str">
        <f>IF(策划表!B156="","",策划表!B156)</f>
        <v>缇娜</v>
      </c>
      <c r="C156" t="str">
        <f t="shared" si="12"/>
        <v>t_director_title_2000000</v>
      </c>
      <c r="D156" t="str">
        <f>IF(策划表!C156="","",策划表!C156)</f>
        <v>永远不要勉强自己啊！</v>
      </c>
      <c r="E156" t="str">
        <f t="shared" si="13"/>
        <v>t_director_dialog_2000000</v>
      </c>
      <c r="F156" t="str">
        <f>IF(策划表!D156="","",策划表!D156)</f>
        <v>我知道了</v>
      </c>
      <c r="G156" t="str">
        <f t="shared" si="14"/>
        <v>t_director_option0_2000000</v>
      </c>
      <c r="H156">
        <f>IF(策划表!E156="","",策划表!E156)</f>
        <v>2</v>
      </c>
      <c r="I156" t="str">
        <f>IF(策划表!F156="","",策划表!F156)</f>
        <v/>
      </c>
      <c r="J156" t="str">
        <f>IF(策划表!G156="","",策划表!G156)</f>
        <v/>
      </c>
      <c r="K156" t="str">
        <f>IF(策划表!H156="","",策划表!H156)</f>
        <v/>
      </c>
      <c r="L156" t="str">
        <f t="shared" si="15"/>
        <v>t_director_option1_2000000</v>
      </c>
      <c r="M156" t="str">
        <f>IF(策划表!I156="","",策划表!I156)</f>
        <v/>
      </c>
      <c r="N156" t="str">
        <f>IF(策划表!J156="","",策划表!J156)</f>
        <v/>
      </c>
      <c r="O156" t="str">
        <f>IF(策划表!K156="","",策划表!K156)</f>
        <v/>
      </c>
      <c r="P156" t="str">
        <f>IF(策划表!L156="","",策划表!L156)</f>
        <v/>
      </c>
      <c r="Q156" t="str">
        <f t="shared" si="16"/>
        <v>t_director_option2_2000000</v>
      </c>
      <c r="R156" t="str">
        <f>IF(策划表!M156="","",策划表!M156)</f>
        <v/>
      </c>
      <c r="S156" t="str">
        <f>IF(策划表!N156="","",策划表!N156)</f>
        <v/>
      </c>
      <c r="T156" t="str">
        <f>IF(策划表!O156="","",策划表!O156)</f>
        <v/>
      </c>
      <c r="U156" t="str">
        <f>IF(策划表!P156="","",策划表!P156)</f>
        <v/>
      </c>
      <c r="V156" t="str">
        <f t="shared" si="17"/>
        <v>t_director_option3_2000000</v>
      </c>
      <c r="W156" t="str">
        <f>IF(策划表!Q156="","",策划表!Q156)</f>
        <v/>
      </c>
      <c r="X156" t="str">
        <f>IF(策划表!R156="","",策划表!R156)</f>
        <v/>
      </c>
      <c r="Y156" t="str">
        <f>IF(策划表!S156="","",策划表!S156)</f>
        <v/>
      </c>
    </row>
    <row r="157" spans="1:25" x14ac:dyDescent="0.15">
      <c r="A157">
        <f>策划表!A157</f>
        <v>2000001</v>
      </c>
      <c r="B157" t="str">
        <f>IF(策划表!B157="","",策划表!B157)</f>
        <v>伊迪丝</v>
      </c>
      <c r="C157" t="str">
        <f t="shared" si="12"/>
        <v>t_director_title_2000001</v>
      </c>
      <c r="D157" t="str">
        <f>IF(策划表!C157="","",策划表!C157)</f>
        <v>继续去冒险吧！</v>
      </c>
      <c r="E157" t="str">
        <f t="shared" si="13"/>
        <v>t_director_dialog_2000001</v>
      </c>
      <c r="F157" t="str">
        <f>IF(策划表!D157="","",策划表!D157)</f>
        <v>好的</v>
      </c>
      <c r="G157" t="str">
        <f t="shared" si="14"/>
        <v>t_director_option0_2000001</v>
      </c>
      <c r="H157">
        <f>IF(策划表!E157="","",策划表!E157)</f>
        <v>2</v>
      </c>
      <c r="I157" t="str">
        <f>IF(策划表!F157="","",策划表!F157)</f>
        <v/>
      </c>
      <c r="J157" t="str">
        <f>IF(策划表!G157="","",策划表!G157)</f>
        <v/>
      </c>
      <c r="K157" t="str">
        <f>IF(策划表!H157="","",策划表!H157)</f>
        <v/>
      </c>
      <c r="L157" t="str">
        <f t="shared" si="15"/>
        <v>t_director_option1_2000001</v>
      </c>
      <c r="M157" t="str">
        <f>IF(策划表!I157="","",策划表!I157)</f>
        <v/>
      </c>
      <c r="N157" t="str">
        <f>IF(策划表!J157="","",策划表!J157)</f>
        <v/>
      </c>
      <c r="O157" t="str">
        <f>IF(策划表!K157="","",策划表!K157)</f>
        <v/>
      </c>
      <c r="P157" t="str">
        <f>IF(策划表!L157="","",策划表!L157)</f>
        <v/>
      </c>
      <c r="Q157" t="str">
        <f t="shared" si="16"/>
        <v>t_director_option2_2000001</v>
      </c>
      <c r="R157" t="str">
        <f>IF(策划表!M157="","",策划表!M157)</f>
        <v/>
      </c>
      <c r="S157" t="str">
        <f>IF(策划表!N157="","",策划表!N157)</f>
        <v/>
      </c>
      <c r="T157" t="str">
        <f>IF(策划表!O157="","",策划表!O157)</f>
        <v/>
      </c>
      <c r="U157" t="str">
        <f>IF(策划表!P157="","",策划表!P157)</f>
        <v/>
      </c>
      <c r="V157" t="str">
        <f t="shared" si="17"/>
        <v>t_director_option3_2000001</v>
      </c>
      <c r="W157" t="str">
        <f>IF(策划表!Q157="","",策划表!Q157)</f>
        <v/>
      </c>
      <c r="X157" t="str">
        <f>IF(策划表!R157="","",策划表!R157)</f>
        <v/>
      </c>
      <c r="Y157" t="str">
        <f>IF(策划表!S157="","",策划表!S157)</f>
        <v/>
      </c>
    </row>
    <row r="158" spans="1:25" x14ac:dyDescent="0.15">
      <c r="A158">
        <f>策划表!A158</f>
        <v>2000002</v>
      </c>
      <c r="B158" t="str">
        <f>IF(策划表!B158="","",策划表!B158)</f>
        <v>卡玛</v>
      </c>
      <c r="C158" t="str">
        <f t="shared" si="12"/>
        <v>t_director_title_2000002</v>
      </c>
      <c r="D158" t="str">
        <f>IF(策划表!C158="","",策划表!C158)</f>
        <v>城里的孩子都等着物资呢。</v>
      </c>
      <c r="E158" t="str">
        <f t="shared" si="13"/>
        <v>t_director_dialog_2000002</v>
      </c>
      <c r="F158" t="str">
        <f>IF(策划表!D158="","",策划表!D158)</f>
        <v>…</v>
      </c>
      <c r="G158" t="str">
        <f t="shared" si="14"/>
        <v>t_director_option0_2000002</v>
      </c>
      <c r="H158">
        <f>IF(策划表!E158="","",策划表!E158)</f>
        <v>2</v>
      </c>
      <c r="I158" t="str">
        <f>IF(策划表!F158="","",策划表!F158)</f>
        <v/>
      </c>
      <c r="J158" t="str">
        <f>IF(策划表!G158="","",策划表!G158)</f>
        <v/>
      </c>
      <c r="K158" t="str">
        <f>IF(策划表!H158="","",策划表!H158)</f>
        <v/>
      </c>
      <c r="L158" t="str">
        <f t="shared" si="15"/>
        <v>t_director_option1_2000002</v>
      </c>
      <c r="M158" t="str">
        <f>IF(策划表!I158="","",策划表!I158)</f>
        <v/>
      </c>
      <c r="N158" t="str">
        <f>IF(策划表!J158="","",策划表!J158)</f>
        <v/>
      </c>
      <c r="O158" t="str">
        <f>IF(策划表!K158="","",策划表!K158)</f>
        <v/>
      </c>
      <c r="P158" t="str">
        <f>IF(策划表!L158="","",策划表!L158)</f>
        <v/>
      </c>
      <c r="Q158" t="str">
        <f t="shared" si="16"/>
        <v>t_director_option2_2000002</v>
      </c>
      <c r="R158" t="str">
        <f>IF(策划表!M158="","",策划表!M158)</f>
        <v/>
      </c>
      <c r="S158" t="str">
        <f>IF(策划表!N158="","",策划表!N158)</f>
        <v/>
      </c>
      <c r="T158" t="str">
        <f>IF(策划表!O158="","",策划表!O158)</f>
        <v/>
      </c>
      <c r="U158" t="str">
        <f>IF(策划表!P158="","",策划表!P158)</f>
        <v/>
      </c>
      <c r="V158" t="str">
        <f t="shared" si="17"/>
        <v>t_director_option3_2000002</v>
      </c>
      <c r="W158" t="str">
        <f>IF(策划表!Q158="","",策划表!Q158)</f>
        <v/>
      </c>
      <c r="X158" t="str">
        <f>IF(策划表!R158="","",策划表!R158)</f>
        <v/>
      </c>
      <c r="Y158" t="str">
        <f>IF(策划表!S158="","",策划表!S158)</f>
        <v/>
      </c>
    </row>
    <row r="159" spans="1:25" x14ac:dyDescent="0.15">
      <c r="A159">
        <f>策划表!A159</f>
        <v>2000003</v>
      </c>
      <c r="B159" t="str">
        <f>IF(策划表!B159="","",策划表!B159)</f>
        <v>汉森</v>
      </c>
      <c r="C159" t="str">
        <f t="shared" si="12"/>
        <v>t_director_title_2000003</v>
      </c>
      <c r="D159" t="str">
        <f>IF(策划表!C159="","",策划表!C159)</f>
        <v>真不知道神殿的高层整天在吵什么！</v>
      </c>
      <c r="E159" t="str">
        <f t="shared" si="13"/>
        <v>t_director_dialog_2000003</v>
      </c>
      <c r="F159" t="str">
        <f>IF(策划表!D159="","",策划表!D159)</f>
        <v>…</v>
      </c>
      <c r="G159" t="str">
        <f t="shared" si="14"/>
        <v>t_director_option0_2000003</v>
      </c>
      <c r="H159">
        <f>IF(策划表!E159="","",策划表!E159)</f>
        <v>2</v>
      </c>
      <c r="I159" t="str">
        <f>IF(策划表!F159="","",策划表!F159)</f>
        <v/>
      </c>
      <c r="J159" t="str">
        <f>IF(策划表!G159="","",策划表!G159)</f>
        <v/>
      </c>
      <c r="K159" t="str">
        <f>IF(策划表!H159="","",策划表!H159)</f>
        <v/>
      </c>
      <c r="L159" t="str">
        <f t="shared" si="15"/>
        <v>t_director_option1_2000003</v>
      </c>
      <c r="M159" t="str">
        <f>IF(策划表!I159="","",策划表!I159)</f>
        <v/>
      </c>
      <c r="N159" t="str">
        <f>IF(策划表!J159="","",策划表!J159)</f>
        <v/>
      </c>
      <c r="O159" t="str">
        <f>IF(策划表!K159="","",策划表!K159)</f>
        <v/>
      </c>
      <c r="P159" t="str">
        <f>IF(策划表!L159="","",策划表!L159)</f>
        <v/>
      </c>
      <c r="Q159" t="str">
        <f t="shared" si="16"/>
        <v>t_director_option2_2000003</v>
      </c>
      <c r="R159" t="str">
        <f>IF(策划表!M159="","",策划表!M159)</f>
        <v/>
      </c>
      <c r="S159" t="str">
        <f>IF(策划表!N159="","",策划表!N159)</f>
        <v/>
      </c>
      <c r="T159" t="str">
        <f>IF(策划表!O159="","",策划表!O159)</f>
        <v/>
      </c>
      <c r="U159" t="str">
        <f>IF(策划表!P159="","",策划表!P159)</f>
        <v/>
      </c>
      <c r="V159" t="str">
        <f t="shared" si="17"/>
        <v>t_director_option3_2000003</v>
      </c>
      <c r="W159" t="str">
        <f>IF(策划表!Q159="","",策划表!Q159)</f>
        <v/>
      </c>
      <c r="X159" t="str">
        <f>IF(策划表!R159="","",策划表!R159)</f>
        <v/>
      </c>
      <c r="Y159" t="str">
        <f>IF(策划表!S159="","",策划表!S159)</f>
        <v/>
      </c>
    </row>
    <row r="160" spans="1:25" x14ac:dyDescent="0.15">
      <c r="A160">
        <f>策划表!A160</f>
        <v>2000004</v>
      </c>
      <c r="B160" t="str">
        <f>IF(策划表!B160="","",策划表!B160)</f>
        <v>帕莎</v>
      </c>
      <c r="C160" t="str">
        <f t="shared" si="12"/>
        <v>t_director_title_2000004</v>
      </c>
      <c r="D160" t="str">
        <f>IF(策划表!C160="","",策划表!C160)</f>
        <v>好想快点回到罗斯身边。</v>
      </c>
      <c r="E160" t="str">
        <f t="shared" si="13"/>
        <v>t_director_dialog_2000004</v>
      </c>
      <c r="F160" t="str">
        <f>IF(策划表!D160="","",策划表!D160)</f>
        <v>…</v>
      </c>
      <c r="G160" t="str">
        <f t="shared" si="14"/>
        <v>t_director_option0_2000004</v>
      </c>
      <c r="H160">
        <f>IF(策划表!E160="","",策划表!E160)</f>
        <v>2</v>
      </c>
      <c r="I160" t="str">
        <f>IF(策划表!F160="","",策划表!F160)</f>
        <v/>
      </c>
      <c r="J160" t="str">
        <f>IF(策划表!G160="","",策划表!G160)</f>
        <v/>
      </c>
      <c r="K160" t="str">
        <f>IF(策划表!H160="","",策划表!H160)</f>
        <v/>
      </c>
      <c r="L160" t="str">
        <f t="shared" si="15"/>
        <v>t_director_option1_2000004</v>
      </c>
      <c r="M160" t="str">
        <f>IF(策划表!I160="","",策划表!I160)</f>
        <v/>
      </c>
      <c r="N160" t="str">
        <f>IF(策划表!J160="","",策划表!J160)</f>
        <v/>
      </c>
      <c r="O160" t="str">
        <f>IF(策划表!K160="","",策划表!K160)</f>
        <v/>
      </c>
      <c r="P160" t="str">
        <f>IF(策划表!L160="","",策划表!L160)</f>
        <v/>
      </c>
      <c r="Q160" t="str">
        <f t="shared" si="16"/>
        <v>t_director_option2_2000004</v>
      </c>
      <c r="R160" t="str">
        <f>IF(策划表!M160="","",策划表!M160)</f>
        <v/>
      </c>
      <c r="S160" t="str">
        <f>IF(策划表!N160="","",策划表!N160)</f>
        <v/>
      </c>
      <c r="T160" t="str">
        <f>IF(策划表!O160="","",策划表!O160)</f>
        <v/>
      </c>
      <c r="U160" t="str">
        <f>IF(策划表!P160="","",策划表!P160)</f>
        <v/>
      </c>
      <c r="V160" t="str">
        <f t="shared" si="17"/>
        <v>t_director_option3_2000004</v>
      </c>
      <c r="W160" t="str">
        <f>IF(策划表!Q160="","",策划表!Q160)</f>
        <v/>
      </c>
      <c r="X160" t="str">
        <f>IF(策划表!R160="","",策划表!R160)</f>
        <v/>
      </c>
      <c r="Y160" t="str">
        <f>IF(策划表!S160="","",策划表!S160)</f>
        <v/>
      </c>
    </row>
    <row r="161" spans="1:25" x14ac:dyDescent="0.15">
      <c r="A161">
        <f>策划表!A161</f>
        <v>2000005</v>
      </c>
      <c r="B161" t="str">
        <f>IF(策划表!B161="","",策划表!B161)</f>
        <v>沃克</v>
      </c>
      <c r="C161" t="str">
        <f t="shared" si="12"/>
        <v>t_director_title_2000005</v>
      </c>
      <c r="D161" t="str">
        <f>IF(策划表!C161="","",策划表!C161)</f>
        <v>神殿的讨厌鬼总是给人添麻烦。</v>
      </c>
      <c r="E161" t="str">
        <f t="shared" si="13"/>
        <v>t_director_dialog_2000005</v>
      </c>
      <c r="F161" t="str">
        <f>IF(策划表!D161="","",策划表!D161)</f>
        <v>…</v>
      </c>
      <c r="G161" t="str">
        <f t="shared" si="14"/>
        <v>t_director_option0_2000005</v>
      </c>
      <c r="H161">
        <f>IF(策划表!E161="","",策划表!E161)</f>
        <v>2</v>
      </c>
      <c r="I161" t="str">
        <f>IF(策划表!F161="","",策划表!F161)</f>
        <v/>
      </c>
      <c r="J161" t="str">
        <f>IF(策划表!G161="","",策划表!G161)</f>
        <v/>
      </c>
      <c r="K161" t="str">
        <f>IF(策划表!H161="","",策划表!H161)</f>
        <v/>
      </c>
      <c r="L161" t="str">
        <f t="shared" si="15"/>
        <v>t_director_option1_2000005</v>
      </c>
      <c r="M161" t="str">
        <f>IF(策划表!I161="","",策划表!I161)</f>
        <v/>
      </c>
      <c r="N161" t="str">
        <f>IF(策划表!J161="","",策划表!J161)</f>
        <v/>
      </c>
      <c r="O161" t="str">
        <f>IF(策划表!K161="","",策划表!K161)</f>
        <v/>
      </c>
      <c r="P161" t="str">
        <f>IF(策划表!L161="","",策划表!L161)</f>
        <v/>
      </c>
      <c r="Q161" t="str">
        <f t="shared" si="16"/>
        <v>t_director_option2_2000005</v>
      </c>
      <c r="R161" t="str">
        <f>IF(策划表!M161="","",策划表!M161)</f>
        <v/>
      </c>
      <c r="S161" t="str">
        <f>IF(策划表!N161="","",策划表!N161)</f>
        <v/>
      </c>
      <c r="T161" t="str">
        <f>IF(策划表!O161="","",策划表!O161)</f>
        <v/>
      </c>
      <c r="U161" t="str">
        <f>IF(策划表!P161="","",策划表!P161)</f>
        <v/>
      </c>
      <c r="V161" t="str">
        <f t="shared" si="17"/>
        <v>t_director_option3_2000005</v>
      </c>
      <c r="W161" t="str">
        <f>IF(策划表!Q161="","",策划表!Q161)</f>
        <v/>
      </c>
      <c r="X161" t="str">
        <f>IF(策划表!R161="","",策划表!R161)</f>
        <v/>
      </c>
      <c r="Y161" t="str">
        <f>IF(策划表!S161="","",策划表!S161)</f>
        <v/>
      </c>
    </row>
    <row r="162" spans="1:25" x14ac:dyDescent="0.15">
      <c r="A162">
        <f>策划表!A162</f>
        <v>2000006</v>
      </c>
      <c r="B162" t="str">
        <f>IF(策划表!B162="","",策划表!B162)</f>
        <v>皮特曼</v>
      </c>
      <c r="C162" t="str">
        <f t="shared" si="12"/>
        <v>t_director_title_2000006</v>
      </c>
      <c r="D162" t="str">
        <f>IF(策划表!C162="","",策划表!C162)</f>
        <v>冒险者，快离开这里，这里很危险。</v>
      </c>
      <c r="E162" t="str">
        <f t="shared" si="13"/>
        <v>t_director_dialog_2000006</v>
      </c>
      <c r="F162" t="str">
        <f>IF(策划表!D162="","",策划表!D162)</f>
        <v>我知道了</v>
      </c>
      <c r="G162" t="str">
        <f t="shared" si="14"/>
        <v>t_director_option0_2000006</v>
      </c>
      <c r="H162">
        <f>IF(策划表!E162="","",策划表!E162)</f>
        <v>2</v>
      </c>
      <c r="I162" t="str">
        <f>IF(策划表!F162="","",策划表!F162)</f>
        <v/>
      </c>
      <c r="J162" t="str">
        <f>IF(策划表!G162="","",策划表!G162)</f>
        <v/>
      </c>
      <c r="K162" t="str">
        <f>IF(策划表!H162="","",策划表!H162)</f>
        <v/>
      </c>
      <c r="L162" t="str">
        <f t="shared" si="15"/>
        <v>t_director_option1_2000006</v>
      </c>
      <c r="M162" t="str">
        <f>IF(策划表!I162="","",策划表!I162)</f>
        <v/>
      </c>
      <c r="N162" t="str">
        <f>IF(策划表!J162="","",策划表!J162)</f>
        <v/>
      </c>
      <c r="O162" t="str">
        <f>IF(策划表!K162="","",策划表!K162)</f>
        <v/>
      </c>
      <c r="P162" t="str">
        <f>IF(策划表!L162="","",策划表!L162)</f>
        <v/>
      </c>
      <c r="Q162" t="str">
        <f t="shared" si="16"/>
        <v>t_director_option2_2000006</v>
      </c>
      <c r="R162" t="str">
        <f>IF(策划表!M162="","",策划表!M162)</f>
        <v/>
      </c>
      <c r="S162" t="str">
        <f>IF(策划表!N162="","",策划表!N162)</f>
        <v/>
      </c>
      <c r="T162" t="str">
        <f>IF(策划表!O162="","",策划表!O162)</f>
        <v/>
      </c>
      <c r="U162" t="str">
        <f>IF(策划表!P162="","",策划表!P162)</f>
        <v/>
      </c>
      <c r="V162" t="str">
        <f t="shared" si="17"/>
        <v>t_director_option3_2000006</v>
      </c>
      <c r="W162" t="str">
        <f>IF(策划表!Q162="","",策划表!Q162)</f>
        <v/>
      </c>
      <c r="X162" t="str">
        <f>IF(策划表!R162="","",策划表!R162)</f>
        <v/>
      </c>
      <c r="Y162" t="str">
        <f>IF(策划表!S162="","",策划表!S162)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54"/>
  <sheetViews>
    <sheetView zoomScale="115" zoomScaleNormal="115" workbookViewId="0">
      <selection activeCell="A19" sqref="A19"/>
    </sheetView>
  </sheetViews>
  <sheetFormatPr defaultColWidth="9" defaultRowHeight="13.5" x14ac:dyDescent="0.15"/>
  <cols>
    <col min="1" max="1" width="31.875" customWidth="1"/>
  </cols>
  <sheetData>
    <row r="1" spans="1:14" x14ac:dyDescent="0.15">
      <c r="A1" s="1" t="s">
        <v>125</v>
      </c>
      <c r="B1" s="1" t="s">
        <v>126</v>
      </c>
      <c r="C1" s="1" t="s">
        <v>127</v>
      </c>
      <c r="F1">
        <v>2</v>
      </c>
      <c r="G1">
        <v>4</v>
      </c>
      <c r="H1">
        <v>6</v>
      </c>
      <c r="I1">
        <v>11</v>
      </c>
      <c r="J1">
        <v>16</v>
      </c>
      <c r="K1">
        <v>21</v>
      </c>
      <c r="M1" t="s">
        <v>128</v>
      </c>
      <c r="N1">
        <v>162</v>
      </c>
    </row>
    <row r="2" spans="1:14" x14ac:dyDescent="0.15">
      <c r="A2" s="1" t="s">
        <v>16</v>
      </c>
      <c r="B2" s="1" t="s">
        <v>16</v>
      </c>
      <c r="C2" s="1" t="s">
        <v>16</v>
      </c>
      <c r="F2">
        <v>3</v>
      </c>
      <c r="G2">
        <v>5</v>
      </c>
      <c r="H2">
        <v>7</v>
      </c>
      <c r="I2">
        <v>12</v>
      </c>
      <c r="J2">
        <v>17</v>
      </c>
      <c r="K2">
        <v>22</v>
      </c>
    </row>
    <row r="3" spans="1:14" x14ac:dyDescent="0.15">
      <c r="A3" s="1" t="s">
        <v>17</v>
      </c>
      <c r="B3" s="1" t="s">
        <v>129</v>
      </c>
      <c r="C3" s="1" t="s">
        <v>130</v>
      </c>
    </row>
    <row r="4" spans="1:14" x14ac:dyDescent="0.15">
      <c r="A4" t="str">
        <f>INDEX(最终表!$A:$Y,语言表!$F4+4,INDEX($F$2:$L$2,1,$G4+1))</f>
        <v>t_director_title_1100100</v>
      </c>
      <c r="B4" t="str">
        <f>INDEX(最终表!$A:$Y,语言表!$F4+4,INDEX($F$1:$L$1,1,$G4+1))</f>
        <v>缇娜</v>
      </c>
      <c r="F4">
        <f>MOD(ROW()-4,$N$1-3)</f>
        <v>0</v>
      </c>
      <c r="G4">
        <f>INT((ROW()-4)/($N$1-3))</f>
        <v>0</v>
      </c>
    </row>
    <row r="5" spans="1:14" x14ac:dyDescent="0.15">
      <c r="A5" t="str">
        <f>INDEX(最终表!$A:$Y,语言表!$F5+4,INDEX($F$2:$L$2,1,$G5+1))</f>
        <v>t_director_title_1100101</v>
      </c>
      <c r="B5" t="str">
        <f>INDEX(最终表!$A:$Y,语言表!$F5+4,INDEX($F$1:$L$1,1,$G5+1))</f>
        <v>缇娜</v>
      </c>
      <c r="F5">
        <f t="shared" ref="F5:F68" si="0">MOD(ROW()-4,$N$1-3)</f>
        <v>1</v>
      </c>
      <c r="G5">
        <f t="shared" ref="G5:G68" si="1">INT((ROW()-4)/($N$1-3))</f>
        <v>0</v>
      </c>
    </row>
    <row r="6" spans="1:14" x14ac:dyDescent="0.15">
      <c r="A6" t="str">
        <f>INDEX(最终表!$A:$Y,语言表!$F6+4,INDEX($F$2:$L$2,1,$G6+1))</f>
        <v>t_director_title_1100102</v>
      </c>
      <c r="B6" t="str">
        <f>INDEX(最终表!$A:$Y,语言表!$F6+4,INDEX($F$1:$L$1,1,$G6+1))</f>
        <v>缇娜</v>
      </c>
      <c r="F6">
        <f t="shared" si="0"/>
        <v>2</v>
      </c>
      <c r="G6">
        <f t="shared" si="1"/>
        <v>0</v>
      </c>
    </row>
    <row r="7" spans="1:14" x14ac:dyDescent="0.15">
      <c r="A7" t="str">
        <f>INDEX(最终表!$A:$Y,语言表!$F7+4,INDEX($F$2:$L$2,1,$G7+1))</f>
        <v>t_director_title_1100200</v>
      </c>
      <c r="B7" t="str">
        <f>INDEX(最终表!$A:$Y,语言表!$F7+4,INDEX($F$1:$L$1,1,$G7+1))</f>
        <v>伊迪丝</v>
      </c>
      <c r="F7">
        <f t="shared" si="0"/>
        <v>3</v>
      </c>
      <c r="G7">
        <f t="shared" si="1"/>
        <v>0</v>
      </c>
    </row>
    <row r="8" spans="1:14" x14ac:dyDescent="0.15">
      <c r="A8" t="str">
        <f>INDEX(最终表!$A:$Y,语言表!$F8+4,INDEX($F$2:$L$2,1,$G8+1))</f>
        <v>t_director_title_1100201</v>
      </c>
      <c r="B8" t="str">
        <f>INDEX(最终表!$A:$Y,语言表!$F8+4,INDEX($F$1:$L$1,1,$G8+1))</f>
        <v>伊迪丝</v>
      </c>
      <c r="F8">
        <f t="shared" si="0"/>
        <v>4</v>
      </c>
      <c r="G8">
        <f t="shared" si="1"/>
        <v>0</v>
      </c>
    </row>
    <row r="9" spans="1:14" x14ac:dyDescent="0.15">
      <c r="A9" t="str">
        <f>INDEX(最终表!$A:$Y,语言表!$F9+4,INDEX($F$2:$L$2,1,$G9+1))</f>
        <v>t_director_title_1100202</v>
      </c>
      <c r="B9" t="str">
        <f>INDEX(最终表!$A:$Y,语言表!$F9+4,INDEX($F$1:$L$1,1,$G9+1))</f>
        <v>伊迪丝</v>
      </c>
      <c r="F9">
        <f t="shared" si="0"/>
        <v>5</v>
      </c>
      <c r="G9">
        <f t="shared" si="1"/>
        <v>0</v>
      </c>
    </row>
    <row r="10" spans="1:14" x14ac:dyDescent="0.15">
      <c r="A10" t="str">
        <f>INDEX(最终表!$A:$Y,语言表!$F10+4,INDEX($F$2:$L$2,1,$G10+1))</f>
        <v>t_director_title_1100203</v>
      </c>
      <c r="B10" t="str">
        <f>INDEX(最终表!$A:$Y,语言表!$F10+4,INDEX($F$1:$L$1,1,$G10+1))</f>
        <v>伊迪丝</v>
      </c>
      <c r="F10">
        <f t="shared" si="0"/>
        <v>6</v>
      </c>
      <c r="G10">
        <f t="shared" si="1"/>
        <v>0</v>
      </c>
    </row>
    <row r="11" spans="1:14" x14ac:dyDescent="0.15">
      <c r="A11" t="str">
        <f>INDEX(最终表!$A:$Y,语言表!$F11+4,INDEX($F$2:$L$2,1,$G11+1))</f>
        <v>t_director_title_1100300</v>
      </c>
      <c r="B11" t="str">
        <f>INDEX(最终表!$A:$Y,语言表!$F11+4,INDEX($F$1:$L$1,1,$G11+1))</f>
        <v>伊迪丝</v>
      </c>
      <c r="F11">
        <f t="shared" si="0"/>
        <v>7</v>
      </c>
      <c r="G11">
        <f t="shared" si="1"/>
        <v>0</v>
      </c>
    </row>
    <row r="12" spans="1:14" x14ac:dyDescent="0.15">
      <c r="A12" t="str">
        <f>INDEX(最终表!$A:$Y,语言表!$F12+4,INDEX($F$2:$L$2,1,$G12+1))</f>
        <v>t_director_title_1100301</v>
      </c>
      <c r="B12" t="str">
        <f>INDEX(最终表!$A:$Y,语言表!$F12+4,INDEX($F$1:$L$1,1,$G12+1))</f>
        <v>伊迪丝</v>
      </c>
      <c r="F12">
        <f t="shared" si="0"/>
        <v>8</v>
      </c>
      <c r="G12">
        <f t="shared" si="1"/>
        <v>0</v>
      </c>
    </row>
    <row r="13" spans="1:14" x14ac:dyDescent="0.15">
      <c r="A13" t="str">
        <f>INDEX(最终表!$A:$Y,语言表!$F13+4,INDEX($F$2:$L$2,1,$G13+1))</f>
        <v>t_director_title_1100400</v>
      </c>
      <c r="B13" t="str">
        <f>INDEX(最终表!$A:$Y,语言表!$F13+4,INDEX($F$1:$L$1,1,$G13+1))</f>
        <v>帕莎</v>
      </c>
      <c r="F13">
        <f t="shared" si="0"/>
        <v>9</v>
      </c>
      <c r="G13">
        <f t="shared" si="1"/>
        <v>0</v>
      </c>
    </row>
    <row r="14" spans="1:14" x14ac:dyDescent="0.15">
      <c r="A14" t="str">
        <f>INDEX(最终表!$A:$Y,语言表!$F14+4,INDEX($F$2:$L$2,1,$G14+1))</f>
        <v>t_director_title_1100401</v>
      </c>
      <c r="B14" t="str">
        <f>INDEX(最终表!$A:$Y,语言表!$F14+4,INDEX($F$1:$L$1,1,$G14+1))</f>
        <v>帕莎</v>
      </c>
      <c r="F14">
        <f t="shared" si="0"/>
        <v>10</v>
      </c>
      <c r="G14">
        <f t="shared" si="1"/>
        <v>0</v>
      </c>
    </row>
    <row r="15" spans="1:14" x14ac:dyDescent="0.15">
      <c r="A15" t="str">
        <f>INDEX(最终表!$A:$Y,语言表!$F15+4,INDEX($F$2:$L$2,1,$G15+1))</f>
        <v>t_director_title_1100450</v>
      </c>
      <c r="B15" t="str">
        <f>INDEX(最终表!$A:$Y,语言表!$F15+4,INDEX($F$1:$L$1,1,$G15+1))</f>
        <v>帕莎</v>
      </c>
      <c r="F15">
        <f t="shared" si="0"/>
        <v>11</v>
      </c>
      <c r="G15">
        <f t="shared" si="1"/>
        <v>0</v>
      </c>
    </row>
    <row r="16" spans="1:14" x14ac:dyDescent="0.15">
      <c r="A16" t="str">
        <f>INDEX(最终表!$A:$Y,语言表!$F16+4,INDEX($F$2:$L$2,1,$G16+1))</f>
        <v>t_director_title_1100451</v>
      </c>
      <c r="B16" t="str">
        <f>INDEX(最终表!$A:$Y,语言表!$F16+4,INDEX($F$1:$L$1,1,$G16+1))</f>
        <v>帕莎</v>
      </c>
      <c r="F16">
        <f t="shared" si="0"/>
        <v>12</v>
      </c>
      <c r="G16">
        <f t="shared" si="1"/>
        <v>0</v>
      </c>
    </row>
    <row r="17" spans="1:7" x14ac:dyDescent="0.15">
      <c r="A17" t="str">
        <f>INDEX(最终表!$A:$Y,语言表!$F17+4,INDEX($F$2:$L$2,1,$G17+1))</f>
        <v>t_director_title_1100480</v>
      </c>
      <c r="B17" t="str">
        <f>INDEX(最终表!$A:$Y,语言表!$F17+4,INDEX($F$1:$L$1,1,$G17+1))</f>
        <v>帕莎</v>
      </c>
      <c r="F17">
        <f t="shared" si="0"/>
        <v>13</v>
      </c>
      <c r="G17">
        <f t="shared" si="1"/>
        <v>0</v>
      </c>
    </row>
    <row r="18" spans="1:7" x14ac:dyDescent="0.15">
      <c r="A18" t="str">
        <f>INDEX(最终表!$A:$Y,语言表!$F18+4,INDEX($F$2:$L$2,1,$G18+1))</f>
        <v>t_director_title_1100481</v>
      </c>
      <c r="B18" t="str">
        <f>INDEX(最终表!$A:$Y,语言表!$F18+4,INDEX($F$1:$L$1,1,$G18+1))</f>
        <v>帕莎</v>
      </c>
      <c r="F18">
        <f t="shared" si="0"/>
        <v>14</v>
      </c>
      <c r="G18">
        <f t="shared" si="1"/>
        <v>0</v>
      </c>
    </row>
    <row r="19" spans="1:7" x14ac:dyDescent="0.15">
      <c r="A19" t="str">
        <f>INDEX(最终表!$A:$Y,语言表!$F19+4,INDEX($F$2:$L$2,1,$G19+1))</f>
        <v>t_director_title_1100500</v>
      </c>
      <c r="B19" t="str">
        <f>INDEX(最终表!$A:$Y,语言表!$F19+4,INDEX($F$1:$L$1,1,$G19+1))</f>
        <v>伊迪丝</v>
      </c>
      <c r="F19">
        <f t="shared" si="0"/>
        <v>15</v>
      </c>
      <c r="G19">
        <f t="shared" si="1"/>
        <v>0</v>
      </c>
    </row>
    <row r="20" spans="1:7" x14ac:dyDescent="0.15">
      <c r="A20" t="str">
        <f>INDEX(最终表!$A:$Y,语言表!$F20+4,INDEX($F$2:$L$2,1,$G20+1))</f>
        <v>t_director_title_1100501</v>
      </c>
      <c r="B20" t="str">
        <f>INDEX(最终表!$A:$Y,语言表!$F20+4,INDEX($F$1:$L$1,1,$G20+1))</f>
        <v>伊迪丝</v>
      </c>
      <c r="F20">
        <f t="shared" si="0"/>
        <v>16</v>
      </c>
      <c r="G20">
        <f t="shared" si="1"/>
        <v>0</v>
      </c>
    </row>
    <row r="21" spans="1:7" x14ac:dyDescent="0.15">
      <c r="A21" t="str">
        <f>INDEX(最终表!$A:$Y,语言表!$F21+4,INDEX($F$2:$L$2,1,$G21+1))</f>
        <v>t_director_title_1100550</v>
      </c>
      <c r="B21" t="str">
        <f>INDEX(最终表!$A:$Y,语言表!$F21+4,INDEX($F$1:$L$1,1,$G21+1))</f>
        <v>汉森</v>
      </c>
      <c r="F21">
        <f t="shared" si="0"/>
        <v>17</v>
      </c>
      <c r="G21">
        <f t="shared" si="1"/>
        <v>0</v>
      </c>
    </row>
    <row r="22" spans="1:7" x14ac:dyDescent="0.15">
      <c r="A22" t="str">
        <f>INDEX(最终表!$A:$Y,语言表!$F22+4,INDEX($F$2:$L$2,1,$G22+1))</f>
        <v>t_director_title_1100551</v>
      </c>
      <c r="B22" t="str">
        <f>INDEX(最终表!$A:$Y,语言表!$F22+4,INDEX($F$1:$L$1,1,$G22+1))</f>
        <v>汉森</v>
      </c>
      <c r="F22">
        <f t="shared" si="0"/>
        <v>18</v>
      </c>
      <c r="G22">
        <f t="shared" si="1"/>
        <v>0</v>
      </c>
    </row>
    <row r="23" spans="1:7" x14ac:dyDescent="0.15">
      <c r="A23" t="str">
        <f>INDEX(最终表!$A:$Y,语言表!$F23+4,INDEX($F$2:$L$2,1,$G23+1))</f>
        <v>t_director_title_1100552</v>
      </c>
      <c r="B23" t="str">
        <f>INDEX(最终表!$A:$Y,语言表!$F23+4,INDEX($F$1:$L$1,1,$G23+1))</f>
        <v>汉森</v>
      </c>
      <c r="F23">
        <f t="shared" si="0"/>
        <v>19</v>
      </c>
      <c r="G23">
        <f t="shared" si="1"/>
        <v>0</v>
      </c>
    </row>
    <row r="24" spans="1:7" x14ac:dyDescent="0.15">
      <c r="A24" t="str">
        <f>INDEX(最终表!$A:$Y,语言表!$F24+4,INDEX($F$2:$L$2,1,$G24+1))</f>
        <v>t_director_title_1100553</v>
      </c>
      <c r="B24" t="str">
        <f>INDEX(最终表!$A:$Y,语言表!$F24+4,INDEX($F$1:$L$1,1,$G24+1))</f>
        <v>汉森</v>
      </c>
      <c r="F24">
        <f t="shared" si="0"/>
        <v>20</v>
      </c>
      <c r="G24">
        <f t="shared" si="1"/>
        <v>0</v>
      </c>
    </row>
    <row r="25" spans="1:7" x14ac:dyDescent="0.15">
      <c r="A25" t="str">
        <f>INDEX(最终表!$A:$Y,语言表!$F25+4,INDEX($F$2:$L$2,1,$G25+1))</f>
        <v>t_director_title_1100580</v>
      </c>
      <c r="B25" t="str">
        <f>INDEX(最终表!$A:$Y,语言表!$F25+4,INDEX($F$1:$L$1,1,$G25+1))</f>
        <v>汉森</v>
      </c>
      <c r="F25">
        <f t="shared" si="0"/>
        <v>21</v>
      </c>
      <c r="G25">
        <f t="shared" si="1"/>
        <v>0</v>
      </c>
    </row>
    <row r="26" spans="1:7" x14ac:dyDescent="0.15">
      <c r="A26" t="str">
        <f>INDEX(最终表!$A:$Y,语言表!$F26+4,INDEX($F$2:$L$2,1,$G26+1))</f>
        <v>t_director_title_1100581</v>
      </c>
      <c r="B26" t="str">
        <f>INDEX(最终表!$A:$Y,语言表!$F26+4,INDEX($F$1:$L$1,1,$G26+1))</f>
        <v>汉森</v>
      </c>
      <c r="F26">
        <f t="shared" si="0"/>
        <v>22</v>
      </c>
      <c r="G26">
        <f t="shared" si="1"/>
        <v>0</v>
      </c>
    </row>
    <row r="27" spans="1:7" x14ac:dyDescent="0.15">
      <c r="A27" t="str">
        <f>INDEX(最终表!$A:$Y,语言表!$F27+4,INDEX($F$2:$L$2,1,$G27+1))</f>
        <v>t_director_title_1100600</v>
      </c>
      <c r="B27" t="str">
        <f>INDEX(最终表!$A:$Y,语言表!$F27+4,INDEX($F$1:$L$1,1,$G27+1))</f>
        <v>伊迪丝</v>
      </c>
      <c r="F27">
        <f t="shared" si="0"/>
        <v>23</v>
      </c>
      <c r="G27">
        <f t="shared" si="1"/>
        <v>0</v>
      </c>
    </row>
    <row r="28" spans="1:7" x14ac:dyDescent="0.15">
      <c r="A28" t="str">
        <f>INDEX(最终表!$A:$Y,语言表!$F28+4,INDEX($F$2:$L$2,1,$G28+1))</f>
        <v>t_director_title_1100601</v>
      </c>
      <c r="B28" t="str">
        <f>INDEX(最终表!$A:$Y,语言表!$F28+4,INDEX($F$1:$L$1,1,$G28+1))</f>
        <v>伊迪丝</v>
      </c>
      <c r="F28">
        <f t="shared" si="0"/>
        <v>24</v>
      </c>
      <c r="G28">
        <f t="shared" si="1"/>
        <v>0</v>
      </c>
    </row>
    <row r="29" spans="1:7" x14ac:dyDescent="0.15">
      <c r="A29" t="str">
        <f>INDEX(最终表!$A:$Y,语言表!$F29+4,INDEX($F$2:$L$2,1,$G29+1))</f>
        <v>t_director_title_1100602</v>
      </c>
      <c r="B29" t="str">
        <f>INDEX(最终表!$A:$Y,语言表!$F29+4,INDEX($F$1:$L$1,1,$G29+1))</f>
        <v>伊迪丝</v>
      </c>
      <c r="F29">
        <f t="shared" si="0"/>
        <v>25</v>
      </c>
      <c r="G29">
        <f t="shared" si="1"/>
        <v>0</v>
      </c>
    </row>
    <row r="30" spans="1:7" x14ac:dyDescent="0.15">
      <c r="A30" t="str">
        <f>INDEX(最终表!$A:$Y,语言表!$F30+4,INDEX($F$2:$L$2,1,$G30+1))</f>
        <v>t_director_title_1100603</v>
      </c>
      <c r="B30" t="str">
        <f>INDEX(最终表!$A:$Y,语言表!$F30+4,INDEX($F$1:$L$1,1,$G30+1))</f>
        <v>伊迪丝</v>
      </c>
      <c r="F30">
        <f t="shared" si="0"/>
        <v>26</v>
      </c>
      <c r="G30">
        <f t="shared" si="1"/>
        <v>0</v>
      </c>
    </row>
    <row r="31" spans="1:7" x14ac:dyDescent="0.15">
      <c r="A31" t="str">
        <f>INDEX(最终表!$A:$Y,语言表!$F31+4,INDEX($F$2:$L$2,1,$G31+1))</f>
        <v>t_director_title_1100604</v>
      </c>
      <c r="B31" t="str">
        <f>INDEX(最终表!$A:$Y,语言表!$F31+4,INDEX($F$1:$L$1,1,$G31+1))</f>
        <v>伊迪丝</v>
      </c>
      <c r="F31">
        <f t="shared" si="0"/>
        <v>27</v>
      </c>
      <c r="G31">
        <f t="shared" si="1"/>
        <v>0</v>
      </c>
    </row>
    <row r="32" spans="1:7" x14ac:dyDescent="0.15">
      <c r="A32" t="str">
        <f>INDEX(最终表!$A:$Y,语言表!$F32+4,INDEX($F$2:$L$2,1,$G32+1))</f>
        <v>t_director_title_1100700</v>
      </c>
      <c r="B32" t="str">
        <f>INDEX(最终表!$A:$Y,语言表!$F32+4,INDEX($F$1:$L$1,1,$G32+1))</f>
        <v>伊迪丝</v>
      </c>
      <c r="F32">
        <f t="shared" si="0"/>
        <v>28</v>
      </c>
      <c r="G32">
        <f t="shared" si="1"/>
        <v>0</v>
      </c>
    </row>
    <row r="33" spans="1:7" x14ac:dyDescent="0.15">
      <c r="A33" t="str">
        <f>INDEX(最终表!$A:$Y,语言表!$F33+4,INDEX($F$2:$L$2,1,$G33+1))</f>
        <v>t_director_title_1100701</v>
      </c>
      <c r="B33" t="str">
        <f>INDEX(最终表!$A:$Y,语言表!$F33+4,INDEX($F$1:$L$1,1,$G33+1))</f>
        <v>伊迪丝</v>
      </c>
      <c r="F33">
        <f t="shared" si="0"/>
        <v>29</v>
      </c>
      <c r="G33">
        <f t="shared" si="1"/>
        <v>0</v>
      </c>
    </row>
    <row r="34" spans="1:7" x14ac:dyDescent="0.15">
      <c r="A34" t="str">
        <f>INDEX(最终表!$A:$Y,语言表!$F34+4,INDEX($F$2:$L$2,1,$G34+1))</f>
        <v>t_director_title_1100702</v>
      </c>
      <c r="B34" t="str">
        <f>INDEX(最终表!$A:$Y,语言表!$F34+4,INDEX($F$1:$L$1,1,$G34+1))</f>
        <v>伊迪丝</v>
      </c>
      <c r="F34">
        <f t="shared" si="0"/>
        <v>30</v>
      </c>
      <c r="G34">
        <f t="shared" si="1"/>
        <v>0</v>
      </c>
    </row>
    <row r="35" spans="1:7" x14ac:dyDescent="0.15">
      <c r="A35" t="str">
        <f>INDEX(最终表!$A:$Y,语言表!$F35+4,INDEX($F$2:$L$2,1,$G35+1))</f>
        <v>t_director_title_1100800</v>
      </c>
      <c r="B35" t="str">
        <f>INDEX(最终表!$A:$Y,语言表!$F35+4,INDEX($F$1:$L$1,1,$G35+1))</f>
        <v>伊迪丝</v>
      </c>
      <c r="F35">
        <f t="shared" si="0"/>
        <v>31</v>
      </c>
      <c r="G35">
        <f t="shared" si="1"/>
        <v>0</v>
      </c>
    </row>
    <row r="36" spans="1:7" x14ac:dyDescent="0.15">
      <c r="A36" t="str">
        <f>INDEX(最终表!$A:$Y,语言表!$F36+4,INDEX($F$2:$L$2,1,$G36+1))</f>
        <v>t_director_title_1100801</v>
      </c>
      <c r="B36" t="str">
        <f>INDEX(最终表!$A:$Y,语言表!$F36+4,INDEX($F$1:$L$1,1,$G36+1))</f>
        <v>伊迪丝</v>
      </c>
      <c r="F36">
        <f t="shared" si="0"/>
        <v>32</v>
      </c>
      <c r="G36">
        <f t="shared" si="1"/>
        <v>0</v>
      </c>
    </row>
    <row r="37" spans="1:7" x14ac:dyDescent="0.15">
      <c r="A37" t="str">
        <f>INDEX(最终表!$A:$Y,语言表!$F37+4,INDEX($F$2:$L$2,1,$G37+1))</f>
        <v>t_director_title_1100802</v>
      </c>
      <c r="B37" t="str">
        <f>INDEX(最终表!$A:$Y,语言表!$F37+4,INDEX($F$1:$L$1,1,$G37+1))</f>
        <v>伊迪丝</v>
      </c>
      <c r="F37">
        <f t="shared" si="0"/>
        <v>33</v>
      </c>
      <c r="G37">
        <f t="shared" si="1"/>
        <v>0</v>
      </c>
    </row>
    <row r="38" spans="1:7" x14ac:dyDescent="0.15">
      <c r="A38" t="str">
        <f>INDEX(最终表!$A:$Y,语言表!$F38+4,INDEX($F$2:$L$2,1,$G38+1))</f>
        <v>t_director_title_1100803</v>
      </c>
      <c r="B38" t="str">
        <f>INDEX(最终表!$A:$Y,语言表!$F38+4,INDEX($F$1:$L$1,1,$G38+1))</f>
        <v>伊迪丝</v>
      </c>
      <c r="F38">
        <f t="shared" si="0"/>
        <v>34</v>
      </c>
      <c r="G38">
        <f t="shared" si="1"/>
        <v>0</v>
      </c>
    </row>
    <row r="39" spans="1:7" x14ac:dyDescent="0.15">
      <c r="A39" t="str">
        <f>INDEX(最终表!$A:$Y,语言表!$F39+4,INDEX($F$2:$L$2,1,$G39+1))</f>
        <v>t_director_title_1100804</v>
      </c>
      <c r="B39" t="str">
        <f>INDEX(最终表!$A:$Y,语言表!$F39+4,INDEX($F$1:$L$1,1,$G39+1))</f>
        <v>伊迪丝</v>
      </c>
      <c r="F39">
        <f t="shared" si="0"/>
        <v>35</v>
      </c>
      <c r="G39">
        <f t="shared" si="1"/>
        <v>0</v>
      </c>
    </row>
    <row r="40" spans="1:7" x14ac:dyDescent="0.15">
      <c r="A40" t="str">
        <f>INDEX(最终表!$A:$Y,语言表!$F40+4,INDEX($F$2:$L$2,1,$G40+1))</f>
        <v>t_director_title_1100805</v>
      </c>
      <c r="B40" t="str">
        <f>INDEX(最终表!$A:$Y,语言表!$F40+4,INDEX($F$1:$L$1,1,$G40+1))</f>
        <v>伊迪丝</v>
      </c>
      <c r="F40">
        <f t="shared" si="0"/>
        <v>36</v>
      </c>
      <c r="G40">
        <f t="shared" si="1"/>
        <v>0</v>
      </c>
    </row>
    <row r="41" spans="1:7" x14ac:dyDescent="0.15">
      <c r="A41" t="str">
        <f>INDEX(最终表!$A:$Y,语言表!$F41+4,INDEX($F$2:$L$2,1,$G41+1))</f>
        <v>t_director_title_1100900</v>
      </c>
      <c r="B41" t="str">
        <f>INDEX(最终表!$A:$Y,语言表!$F41+4,INDEX($F$1:$L$1,1,$G41+1))</f>
        <v>卡玛</v>
      </c>
      <c r="F41">
        <f t="shared" si="0"/>
        <v>37</v>
      </c>
      <c r="G41">
        <f t="shared" si="1"/>
        <v>0</v>
      </c>
    </row>
    <row r="42" spans="1:7" x14ac:dyDescent="0.15">
      <c r="A42" t="str">
        <f>INDEX(最终表!$A:$Y,语言表!$F42+4,INDEX($F$2:$L$2,1,$G42+1))</f>
        <v>t_director_title_1100901</v>
      </c>
      <c r="B42" t="str">
        <f>INDEX(最终表!$A:$Y,语言表!$F42+4,INDEX($F$1:$L$1,1,$G42+1))</f>
        <v>卡玛</v>
      </c>
      <c r="F42">
        <f t="shared" si="0"/>
        <v>38</v>
      </c>
      <c r="G42">
        <f t="shared" si="1"/>
        <v>0</v>
      </c>
    </row>
    <row r="43" spans="1:7" x14ac:dyDescent="0.15">
      <c r="A43" t="str">
        <f>INDEX(最终表!$A:$Y,语言表!$F43+4,INDEX($F$2:$L$2,1,$G43+1))</f>
        <v>t_director_title_1100902</v>
      </c>
      <c r="B43" t="str">
        <f>INDEX(最终表!$A:$Y,语言表!$F43+4,INDEX($F$1:$L$1,1,$G43+1))</f>
        <v>卡玛</v>
      </c>
      <c r="F43">
        <f t="shared" si="0"/>
        <v>39</v>
      </c>
      <c r="G43">
        <f t="shared" si="1"/>
        <v>0</v>
      </c>
    </row>
    <row r="44" spans="1:7" x14ac:dyDescent="0.15">
      <c r="A44" t="str">
        <f>INDEX(最终表!$A:$Y,语言表!$F44+4,INDEX($F$2:$L$2,1,$G44+1))</f>
        <v>t_director_title_1100903</v>
      </c>
      <c r="B44" t="str">
        <f>INDEX(最终表!$A:$Y,语言表!$F44+4,INDEX($F$1:$L$1,1,$G44+1))</f>
        <v>卡玛</v>
      </c>
      <c r="F44">
        <f t="shared" si="0"/>
        <v>40</v>
      </c>
      <c r="G44">
        <f t="shared" si="1"/>
        <v>0</v>
      </c>
    </row>
    <row r="45" spans="1:7" x14ac:dyDescent="0.15">
      <c r="A45" t="str">
        <f>INDEX(最终表!$A:$Y,语言表!$F45+4,INDEX($F$2:$L$2,1,$G45+1))</f>
        <v>t_director_title_1100904</v>
      </c>
      <c r="B45" t="str">
        <f>INDEX(最终表!$A:$Y,语言表!$F45+4,INDEX($F$1:$L$1,1,$G45+1))</f>
        <v>卡玛</v>
      </c>
      <c r="F45">
        <f t="shared" si="0"/>
        <v>41</v>
      </c>
      <c r="G45">
        <f t="shared" si="1"/>
        <v>0</v>
      </c>
    </row>
    <row r="46" spans="1:7" x14ac:dyDescent="0.15">
      <c r="A46" t="str">
        <f>INDEX(最终表!$A:$Y,语言表!$F46+4,INDEX($F$2:$L$2,1,$G46+1))</f>
        <v>t_director_title_1100905</v>
      </c>
      <c r="B46" t="str">
        <f>INDEX(最终表!$A:$Y,语言表!$F46+4,INDEX($F$1:$L$1,1,$G46+1))</f>
        <v>卡玛</v>
      </c>
      <c r="F46">
        <f t="shared" si="0"/>
        <v>42</v>
      </c>
      <c r="G46">
        <f t="shared" si="1"/>
        <v>0</v>
      </c>
    </row>
    <row r="47" spans="1:7" x14ac:dyDescent="0.15">
      <c r="A47" t="str">
        <f>INDEX(最终表!$A:$Y,语言表!$F47+4,INDEX($F$2:$L$2,1,$G47+1))</f>
        <v>t_director_title_1100906</v>
      </c>
      <c r="B47" t="str">
        <f>INDEX(最终表!$A:$Y,语言表!$F47+4,INDEX($F$1:$L$1,1,$G47+1))</f>
        <v>卡玛</v>
      </c>
      <c r="F47">
        <f t="shared" si="0"/>
        <v>43</v>
      </c>
      <c r="G47">
        <f t="shared" si="1"/>
        <v>0</v>
      </c>
    </row>
    <row r="48" spans="1:7" x14ac:dyDescent="0.15">
      <c r="A48" t="str">
        <f>INDEX(最终表!$A:$Y,语言表!$F48+4,INDEX($F$2:$L$2,1,$G48+1))</f>
        <v>t_director_title_1100907</v>
      </c>
      <c r="B48" t="str">
        <f>INDEX(最终表!$A:$Y,语言表!$F48+4,INDEX($F$1:$L$1,1,$G48+1))</f>
        <v>卡玛</v>
      </c>
      <c r="F48">
        <f t="shared" si="0"/>
        <v>44</v>
      </c>
      <c r="G48">
        <f t="shared" si="1"/>
        <v>0</v>
      </c>
    </row>
    <row r="49" spans="1:7" x14ac:dyDescent="0.15">
      <c r="A49" t="str">
        <f>INDEX(最终表!$A:$Y,语言表!$F49+4,INDEX($F$2:$L$2,1,$G49+1))</f>
        <v>t_director_title_1100908</v>
      </c>
      <c r="B49" t="str">
        <f>INDEX(最终表!$A:$Y,语言表!$F49+4,INDEX($F$1:$L$1,1,$G49+1))</f>
        <v>卡玛</v>
      </c>
      <c r="F49">
        <f t="shared" si="0"/>
        <v>45</v>
      </c>
      <c r="G49">
        <f t="shared" si="1"/>
        <v>0</v>
      </c>
    </row>
    <row r="50" spans="1:7" x14ac:dyDescent="0.15">
      <c r="A50" t="str">
        <f>INDEX(最终表!$A:$Y,语言表!$F50+4,INDEX($F$2:$L$2,1,$G50+1))</f>
        <v>t_director_title_1100909</v>
      </c>
      <c r="B50" t="str">
        <f>INDEX(最终表!$A:$Y,语言表!$F50+4,INDEX($F$1:$L$1,1,$G50+1))</f>
        <v>卡玛</v>
      </c>
      <c r="F50">
        <f t="shared" si="0"/>
        <v>46</v>
      </c>
      <c r="G50">
        <f t="shared" si="1"/>
        <v>0</v>
      </c>
    </row>
    <row r="51" spans="1:7" x14ac:dyDescent="0.15">
      <c r="A51" t="str">
        <f>INDEX(最终表!$A:$Y,语言表!$F51+4,INDEX($F$2:$L$2,1,$G51+1))</f>
        <v>t_director_title_1100910</v>
      </c>
      <c r="B51" t="str">
        <f>INDEX(最终表!$A:$Y,语言表!$F51+4,INDEX($F$1:$L$1,1,$G51+1))</f>
        <v>卡玛</v>
      </c>
      <c r="F51">
        <f t="shared" si="0"/>
        <v>47</v>
      </c>
      <c r="G51">
        <f t="shared" si="1"/>
        <v>0</v>
      </c>
    </row>
    <row r="52" spans="1:7" x14ac:dyDescent="0.15">
      <c r="A52" t="str">
        <f>INDEX(最终表!$A:$Y,语言表!$F52+4,INDEX($F$2:$L$2,1,$G52+1))</f>
        <v>t_director_title_1100911</v>
      </c>
      <c r="B52" t="str">
        <f>INDEX(最终表!$A:$Y,语言表!$F52+4,INDEX($F$1:$L$1,1,$G52+1))</f>
        <v>卡玛</v>
      </c>
      <c r="F52">
        <f t="shared" si="0"/>
        <v>48</v>
      </c>
      <c r="G52">
        <f t="shared" si="1"/>
        <v>0</v>
      </c>
    </row>
    <row r="53" spans="1:7" x14ac:dyDescent="0.15">
      <c r="A53" t="str">
        <f>INDEX(最终表!$A:$Y,语言表!$F53+4,INDEX($F$2:$L$2,1,$G53+1))</f>
        <v>t_director_title_1100912</v>
      </c>
      <c r="B53" t="str">
        <f>INDEX(最终表!$A:$Y,语言表!$F53+4,INDEX($F$1:$L$1,1,$G53+1))</f>
        <v>卡玛</v>
      </c>
      <c r="F53">
        <f t="shared" si="0"/>
        <v>49</v>
      </c>
      <c r="G53">
        <f t="shared" si="1"/>
        <v>0</v>
      </c>
    </row>
    <row r="54" spans="1:7" x14ac:dyDescent="0.15">
      <c r="A54" t="str">
        <f>INDEX(最终表!$A:$Y,语言表!$F54+4,INDEX($F$2:$L$2,1,$G54+1))</f>
        <v>t_director_title_1101000</v>
      </c>
      <c r="B54" t="str">
        <f>INDEX(最终表!$A:$Y,语言表!$F54+4,INDEX($F$1:$L$1,1,$G54+1))</f>
        <v>伊迪丝</v>
      </c>
      <c r="F54">
        <f t="shared" si="0"/>
        <v>50</v>
      </c>
      <c r="G54">
        <f t="shared" si="1"/>
        <v>0</v>
      </c>
    </row>
    <row r="55" spans="1:7" x14ac:dyDescent="0.15">
      <c r="A55" t="str">
        <f>INDEX(最终表!$A:$Y,语言表!$F55+4,INDEX($F$2:$L$2,1,$G55+1))</f>
        <v>t_director_title_1101001</v>
      </c>
      <c r="B55" t="str">
        <f>INDEX(最终表!$A:$Y,语言表!$F55+4,INDEX($F$1:$L$1,1,$G55+1))</f>
        <v>伊迪丝</v>
      </c>
      <c r="F55">
        <f t="shared" si="0"/>
        <v>51</v>
      </c>
      <c r="G55">
        <f t="shared" si="1"/>
        <v>0</v>
      </c>
    </row>
    <row r="56" spans="1:7" x14ac:dyDescent="0.15">
      <c r="A56" t="str">
        <f>INDEX(最终表!$A:$Y,语言表!$F56+4,INDEX($F$2:$L$2,1,$G56+1))</f>
        <v>t_director_title_1101002</v>
      </c>
      <c r="B56" t="str">
        <f>INDEX(最终表!$A:$Y,语言表!$F56+4,INDEX($F$1:$L$1,1,$G56+1))</f>
        <v>伊迪丝</v>
      </c>
      <c r="F56">
        <f t="shared" si="0"/>
        <v>52</v>
      </c>
      <c r="G56">
        <f t="shared" si="1"/>
        <v>0</v>
      </c>
    </row>
    <row r="57" spans="1:7" x14ac:dyDescent="0.15">
      <c r="A57" t="str">
        <f>INDEX(最终表!$A:$Y,语言表!$F57+4,INDEX($F$2:$L$2,1,$G57+1))</f>
        <v>t_director_title_1101100</v>
      </c>
      <c r="B57" t="str">
        <f>INDEX(最终表!$A:$Y,语言表!$F57+4,INDEX($F$1:$L$1,1,$G57+1))</f>
        <v>伊迪丝</v>
      </c>
      <c r="F57">
        <f t="shared" si="0"/>
        <v>53</v>
      </c>
      <c r="G57">
        <f t="shared" si="1"/>
        <v>0</v>
      </c>
    </row>
    <row r="58" spans="1:7" x14ac:dyDescent="0.15">
      <c r="A58" t="str">
        <f>INDEX(最终表!$A:$Y,语言表!$F58+4,INDEX($F$2:$L$2,1,$G58+1))</f>
        <v>t_director_title_1101101</v>
      </c>
      <c r="B58" t="str">
        <f>INDEX(最终表!$A:$Y,语言表!$F58+4,INDEX($F$1:$L$1,1,$G58+1))</f>
        <v>伊迪丝</v>
      </c>
      <c r="F58">
        <f t="shared" si="0"/>
        <v>54</v>
      </c>
      <c r="G58">
        <f t="shared" si="1"/>
        <v>0</v>
      </c>
    </row>
    <row r="59" spans="1:7" x14ac:dyDescent="0.15">
      <c r="A59" t="str">
        <f>INDEX(最终表!$A:$Y,语言表!$F59+4,INDEX($F$2:$L$2,1,$G59+1))</f>
        <v>t_director_title_1101110</v>
      </c>
      <c r="B59" t="str">
        <f>INDEX(最终表!$A:$Y,语言表!$F59+4,INDEX($F$1:$L$1,1,$G59+1))</f>
        <v>伊迪丝</v>
      </c>
      <c r="F59">
        <f t="shared" si="0"/>
        <v>55</v>
      </c>
      <c r="G59">
        <f t="shared" si="1"/>
        <v>0</v>
      </c>
    </row>
    <row r="60" spans="1:7" x14ac:dyDescent="0.15">
      <c r="A60" t="str">
        <f>INDEX(最终表!$A:$Y,语言表!$F60+4,INDEX($F$2:$L$2,1,$G60+1))</f>
        <v>t_director_title_1101111</v>
      </c>
      <c r="B60" t="str">
        <f>INDEX(最终表!$A:$Y,语言表!$F60+4,INDEX($F$1:$L$1,1,$G60+1))</f>
        <v>伊迪丝</v>
      </c>
      <c r="F60">
        <f t="shared" si="0"/>
        <v>56</v>
      </c>
      <c r="G60">
        <f t="shared" si="1"/>
        <v>0</v>
      </c>
    </row>
    <row r="61" spans="1:7" x14ac:dyDescent="0.15">
      <c r="A61" t="str">
        <f>INDEX(最终表!$A:$Y,语言表!$F61+4,INDEX($F$2:$L$2,1,$G61+1))</f>
        <v>t_director_title_1101112</v>
      </c>
      <c r="B61" t="str">
        <f>INDEX(最终表!$A:$Y,语言表!$F61+4,INDEX($F$1:$L$1,1,$G61+1))</f>
        <v>伊迪丝</v>
      </c>
      <c r="F61">
        <f t="shared" si="0"/>
        <v>57</v>
      </c>
      <c r="G61">
        <f t="shared" si="1"/>
        <v>0</v>
      </c>
    </row>
    <row r="62" spans="1:7" x14ac:dyDescent="0.15">
      <c r="A62" t="str">
        <f>INDEX(最终表!$A:$Y,语言表!$F62+4,INDEX($F$2:$L$2,1,$G62+1))</f>
        <v>t_director_title_1101150</v>
      </c>
      <c r="B62" t="str">
        <f>INDEX(最终表!$A:$Y,语言表!$F62+4,INDEX($F$1:$L$1,1,$G62+1))</f>
        <v>皮特曼</v>
      </c>
      <c r="F62">
        <f t="shared" si="0"/>
        <v>58</v>
      </c>
      <c r="G62">
        <f t="shared" si="1"/>
        <v>0</v>
      </c>
    </row>
    <row r="63" spans="1:7" x14ac:dyDescent="0.15">
      <c r="A63" t="str">
        <f>INDEX(最终表!$A:$Y,语言表!$F63+4,INDEX($F$2:$L$2,1,$G63+1))</f>
        <v>t_director_title_1101151</v>
      </c>
      <c r="B63" t="str">
        <f>INDEX(最终表!$A:$Y,语言表!$F63+4,INDEX($F$1:$L$1,1,$G63+1))</f>
        <v>皮特曼</v>
      </c>
      <c r="F63">
        <f t="shared" si="0"/>
        <v>59</v>
      </c>
      <c r="G63">
        <f t="shared" si="1"/>
        <v>0</v>
      </c>
    </row>
    <row r="64" spans="1:7" x14ac:dyDescent="0.15">
      <c r="A64" t="str">
        <f>INDEX(最终表!$A:$Y,语言表!$F64+4,INDEX($F$2:$L$2,1,$G64+1))</f>
        <v>t_director_title_1101152</v>
      </c>
      <c r="B64" t="str">
        <f>INDEX(最终表!$A:$Y,语言表!$F64+4,INDEX($F$1:$L$1,1,$G64+1))</f>
        <v>皮特曼</v>
      </c>
      <c r="F64">
        <f t="shared" si="0"/>
        <v>60</v>
      </c>
      <c r="G64">
        <f t="shared" si="1"/>
        <v>0</v>
      </c>
    </row>
    <row r="65" spans="1:7" x14ac:dyDescent="0.15">
      <c r="A65" t="str">
        <f>INDEX(最终表!$A:$Y,语言表!$F65+4,INDEX($F$2:$L$2,1,$G65+1))</f>
        <v>t_director_title_1101153</v>
      </c>
      <c r="B65" t="str">
        <f>INDEX(最终表!$A:$Y,语言表!$F65+4,INDEX($F$1:$L$1,1,$G65+1))</f>
        <v>皮特曼</v>
      </c>
      <c r="F65">
        <f t="shared" si="0"/>
        <v>61</v>
      </c>
      <c r="G65">
        <f t="shared" si="1"/>
        <v>0</v>
      </c>
    </row>
    <row r="66" spans="1:7" x14ac:dyDescent="0.15">
      <c r="A66" t="str">
        <f>INDEX(最终表!$A:$Y,语言表!$F66+4,INDEX($F$2:$L$2,1,$G66+1))</f>
        <v>t_director_title_1101154</v>
      </c>
      <c r="B66" t="str">
        <f>INDEX(最终表!$A:$Y,语言表!$F66+4,INDEX($F$1:$L$1,1,$G66+1))</f>
        <v>皮特曼</v>
      </c>
      <c r="F66">
        <f t="shared" si="0"/>
        <v>62</v>
      </c>
      <c r="G66">
        <f t="shared" si="1"/>
        <v>0</v>
      </c>
    </row>
    <row r="67" spans="1:7" x14ac:dyDescent="0.15">
      <c r="A67" t="str">
        <f>INDEX(最终表!$A:$Y,语言表!$F67+4,INDEX($F$2:$L$2,1,$G67+1))</f>
        <v>t_director_title_1101155</v>
      </c>
      <c r="B67" t="str">
        <f>INDEX(最终表!$A:$Y,语言表!$F67+4,INDEX($F$1:$L$1,1,$G67+1))</f>
        <v>皮特曼</v>
      </c>
      <c r="F67">
        <f t="shared" si="0"/>
        <v>63</v>
      </c>
      <c r="G67">
        <f t="shared" si="1"/>
        <v>0</v>
      </c>
    </row>
    <row r="68" spans="1:7" x14ac:dyDescent="0.15">
      <c r="A68" t="str">
        <f>INDEX(最终表!$A:$Y,语言表!$F68+4,INDEX($F$2:$L$2,1,$G68+1))</f>
        <v>t_director_title_1101200</v>
      </c>
      <c r="B68" t="str">
        <f>INDEX(最终表!$A:$Y,语言表!$F68+4,INDEX($F$1:$L$1,1,$G68+1))</f>
        <v>伊迪丝</v>
      </c>
      <c r="F68">
        <f t="shared" si="0"/>
        <v>64</v>
      </c>
      <c r="G68">
        <f t="shared" si="1"/>
        <v>0</v>
      </c>
    </row>
    <row r="69" spans="1:7" x14ac:dyDescent="0.15">
      <c r="A69" t="str">
        <f>INDEX(最终表!$A:$Y,语言表!$F69+4,INDEX($F$2:$L$2,1,$G69+1))</f>
        <v>t_director_title_1101201</v>
      </c>
      <c r="B69" t="str">
        <f>INDEX(最终表!$A:$Y,语言表!$F69+4,INDEX($F$1:$L$1,1,$G69+1))</f>
        <v>伊迪丝</v>
      </c>
      <c r="F69">
        <f t="shared" ref="F69:F132" si="2">MOD(ROW()-4,$N$1-3)</f>
        <v>65</v>
      </c>
      <c r="G69">
        <f t="shared" ref="G69:G132" si="3">INT((ROW()-4)/($N$1-3))</f>
        <v>0</v>
      </c>
    </row>
    <row r="70" spans="1:7" x14ac:dyDescent="0.15">
      <c r="A70" t="str">
        <f>INDEX(最终表!$A:$Y,语言表!$F70+4,INDEX($F$2:$L$2,1,$G70+1))</f>
        <v>t_director_title_1101202</v>
      </c>
      <c r="B70" t="str">
        <f>INDEX(最终表!$A:$Y,语言表!$F70+4,INDEX($F$1:$L$1,1,$G70+1))</f>
        <v>伊迪丝</v>
      </c>
      <c r="F70">
        <f t="shared" si="2"/>
        <v>66</v>
      </c>
      <c r="G70">
        <f t="shared" si="3"/>
        <v>0</v>
      </c>
    </row>
    <row r="71" spans="1:7" x14ac:dyDescent="0.15">
      <c r="A71" t="str">
        <f>INDEX(最终表!$A:$Y,语言表!$F71+4,INDEX($F$2:$L$2,1,$G71+1))</f>
        <v>t_director_title_1101203</v>
      </c>
      <c r="B71" t="str">
        <f>INDEX(最终表!$A:$Y,语言表!$F71+4,INDEX($F$1:$L$1,1,$G71+1))</f>
        <v>伊迪丝</v>
      </c>
      <c r="F71">
        <f t="shared" si="2"/>
        <v>67</v>
      </c>
      <c r="G71">
        <f t="shared" si="3"/>
        <v>0</v>
      </c>
    </row>
    <row r="72" spans="1:7" x14ac:dyDescent="0.15">
      <c r="A72" t="str">
        <f>INDEX(最终表!$A:$Y,语言表!$F72+4,INDEX($F$2:$L$2,1,$G72+1))</f>
        <v>t_director_title_1101204</v>
      </c>
      <c r="B72" t="str">
        <f>INDEX(最终表!$A:$Y,语言表!$F72+4,INDEX($F$1:$L$1,1,$G72+1))</f>
        <v>伊迪丝</v>
      </c>
      <c r="F72">
        <f t="shared" si="2"/>
        <v>68</v>
      </c>
      <c r="G72">
        <f t="shared" si="3"/>
        <v>0</v>
      </c>
    </row>
    <row r="73" spans="1:7" x14ac:dyDescent="0.15">
      <c r="A73" t="str">
        <f>INDEX(最终表!$A:$Y,语言表!$F73+4,INDEX($F$2:$L$2,1,$G73+1))</f>
        <v>t_director_title_1101205</v>
      </c>
      <c r="B73" t="str">
        <f>INDEX(最终表!$A:$Y,语言表!$F73+4,INDEX($F$1:$L$1,1,$G73+1))</f>
        <v>伊迪丝</v>
      </c>
      <c r="F73">
        <f t="shared" si="2"/>
        <v>69</v>
      </c>
      <c r="G73">
        <f t="shared" si="3"/>
        <v>0</v>
      </c>
    </row>
    <row r="74" spans="1:7" x14ac:dyDescent="0.15">
      <c r="A74" t="str">
        <f>INDEX(最终表!$A:$Y,语言表!$F74+4,INDEX($F$2:$L$2,1,$G74+1))</f>
        <v>t_director_title_1101206</v>
      </c>
      <c r="B74" t="str">
        <f>INDEX(最终表!$A:$Y,语言表!$F74+4,INDEX($F$1:$L$1,1,$G74+1))</f>
        <v>伊迪丝</v>
      </c>
      <c r="F74">
        <f t="shared" si="2"/>
        <v>70</v>
      </c>
      <c r="G74">
        <f t="shared" si="3"/>
        <v>0</v>
      </c>
    </row>
    <row r="75" spans="1:7" x14ac:dyDescent="0.15">
      <c r="A75" t="str">
        <f>INDEX(最终表!$A:$Y,语言表!$F75+4,INDEX($F$2:$L$2,1,$G75+1))</f>
        <v>t_director_title_1101400</v>
      </c>
      <c r="B75" t="str">
        <f>INDEX(最终表!$A:$Y,语言表!$F75+4,INDEX($F$1:$L$1,1,$G75+1))</f>
        <v>帕莎</v>
      </c>
      <c r="F75">
        <f t="shared" si="2"/>
        <v>71</v>
      </c>
      <c r="G75">
        <f t="shared" si="3"/>
        <v>0</v>
      </c>
    </row>
    <row r="76" spans="1:7" x14ac:dyDescent="0.15">
      <c r="A76" t="str">
        <f>INDEX(最终表!$A:$Y,语言表!$F76+4,INDEX($F$2:$L$2,1,$G76+1))</f>
        <v>t_director_title_1101401</v>
      </c>
      <c r="B76" t="str">
        <f>INDEX(最终表!$A:$Y,语言表!$F76+4,INDEX($F$1:$L$1,1,$G76+1))</f>
        <v>帕莎</v>
      </c>
      <c r="F76">
        <f t="shared" si="2"/>
        <v>72</v>
      </c>
      <c r="G76">
        <f t="shared" si="3"/>
        <v>0</v>
      </c>
    </row>
    <row r="77" spans="1:7" x14ac:dyDescent="0.15">
      <c r="A77" t="str">
        <f>INDEX(最终表!$A:$Y,语言表!$F77+4,INDEX($F$2:$L$2,1,$G77+1))</f>
        <v>t_director_title_1101450</v>
      </c>
      <c r="B77" t="str">
        <f>INDEX(最终表!$A:$Y,语言表!$F77+4,INDEX($F$1:$L$1,1,$G77+1))</f>
        <v>帕莎</v>
      </c>
      <c r="F77">
        <f t="shared" si="2"/>
        <v>73</v>
      </c>
      <c r="G77">
        <f t="shared" si="3"/>
        <v>0</v>
      </c>
    </row>
    <row r="78" spans="1:7" x14ac:dyDescent="0.15">
      <c r="A78" t="str">
        <f>INDEX(最终表!$A:$Y,语言表!$F78+4,INDEX($F$2:$L$2,1,$G78+1))</f>
        <v>t_director_title_1101451</v>
      </c>
      <c r="B78" t="str">
        <f>INDEX(最终表!$A:$Y,语言表!$F78+4,INDEX($F$1:$L$1,1,$G78+1))</f>
        <v>帕莎</v>
      </c>
      <c r="F78">
        <f t="shared" si="2"/>
        <v>74</v>
      </c>
      <c r="G78">
        <f t="shared" si="3"/>
        <v>0</v>
      </c>
    </row>
    <row r="79" spans="1:7" x14ac:dyDescent="0.15">
      <c r="A79" t="str">
        <f>INDEX(最终表!$A:$Y,语言表!$F79+4,INDEX($F$2:$L$2,1,$G79+1))</f>
        <v>t_director_title_1101500</v>
      </c>
      <c r="B79" t="str">
        <f>INDEX(最终表!$A:$Y,语言表!$F79+4,INDEX($F$1:$L$1,1,$G79+1))</f>
        <v>帕莎</v>
      </c>
      <c r="F79">
        <f t="shared" si="2"/>
        <v>75</v>
      </c>
      <c r="G79">
        <f t="shared" si="3"/>
        <v>0</v>
      </c>
    </row>
    <row r="80" spans="1:7" x14ac:dyDescent="0.15">
      <c r="A80" t="str">
        <f>INDEX(最终表!$A:$Y,语言表!$F80+4,INDEX($F$2:$L$2,1,$G80+1))</f>
        <v>t_director_title_1101501</v>
      </c>
      <c r="B80" t="str">
        <f>INDEX(最终表!$A:$Y,语言表!$F80+4,INDEX($F$1:$L$1,1,$G80+1))</f>
        <v>帕莎</v>
      </c>
      <c r="F80">
        <f t="shared" si="2"/>
        <v>76</v>
      </c>
      <c r="G80">
        <f t="shared" si="3"/>
        <v>0</v>
      </c>
    </row>
    <row r="81" spans="1:7" x14ac:dyDescent="0.15">
      <c r="A81" t="str">
        <f>INDEX(最终表!$A:$Y,语言表!$F81+4,INDEX($F$2:$L$2,1,$G81+1))</f>
        <v>t_director_title_1101502</v>
      </c>
      <c r="B81" t="str">
        <f>INDEX(最终表!$A:$Y,语言表!$F81+4,INDEX($F$1:$L$1,1,$G81+1))</f>
        <v>帕莎</v>
      </c>
      <c r="F81">
        <f t="shared" si="2"/>
        <v>77</v>
      </c>
      <c r="G81">
        <f t="shared" si="3"/>
        <v>0</v>
      </c>
    </row>
    <row r="82" spans="1:7" x14ac:dyDescent="0.15">
      <c r="A82" t="str">
        <f>INDEX(最终表!$A:$Y,语言表!$F82+4,INDEX($F$2:$L$2,1,$G82+1))</f>
        <v>t_director_title_1101600</v>
      </c>
      <c r="B82" t="str">
        <f>INDEX(最终表!$A:$Y,语言表!$F82+4,INDEX($F$1:$L$1,1,$G82+1))</f>
        <v>帕莎</v>
      </c>
      <c r="F82">
        <f t="shared" si="2"/>
        <v>78</v>
      </c>
      <c r="G82">
        <f t="shared" si="3"/>
        <v>0</v>
      </c>
    </row>
    <row r="83" spans="1:7" x14ac:dyDescent="0.15">
      <c r="A83" t="str">
        <f>INDEX(最终表!$A:$Y,语言表!$F83+4,INDEX($F$2:$L$2,1,$G83+1))</f>
        <v>t_director_title_1101601</v>
      </c>
      <c r="B83" t="str">
        <f>INDEX(最终表!$A:$Y,语言表!$F83+4,INDEX($F$1:$L$1,1,$G83+1))</f>
        <v>帕莎</v>
      </c>
      <c r="F83">
        <f t="shared" si="2"/>
        <v>79</v>
      </c>
      <c r="G83">
        <f t="shared" si="3"/>
        <v>0</v>
      </c>
    </row>
    <row r="84" spans="1:7" x14ac:dyDescent="0.15">
      <c r="A84" t="str">
        <f>INDEX(最终表!$A:$Y,语言表!$F84+4,INDEX($F$2:$L$2,1,$G84+1))</f>
        <v>t_director_title_1101700</v>
      </c>
      <c r="B84" t="str">
        <f>INDEX(最终表!$A:$Y,语言表!$F84+4,INDEX($F$1:$L$1,1,$G84+1))</f>
        <v>卡玛</v>
      </c>
      <c r="F84">
        <f t="shared" si="2"/>
        <v>80</v>
      </c>
      <c r="G84">
        <f t="shared" si="3"/>
        <v>0</v>
      </c>
    </row>
    <row r="85" spans="1:7" x14ac:dyDescent="0.15">
      <c r="A85" t="str">
        <f>INDEX(最终表!$A:$Y,语言表!$F85+4,INDEX($F$2:$L$2,1,$G85+1))</f>
        <v>t_director_title_1101701</v>
      </c>
      <c r="B85" t="str">
        <f>INDEX(最终表!$A:$Y,语言表!$F85+4,INDEX($F$1:$L$1,1,$G85+1))</f>
        <v>卡玛</v>
      </c>
      <c r="F85">
        <f t="shared" si="2"/>
        <v>81</v>
      </c>
      <c r="G85">
        <f t="shared" si="3"/>
        <v>0</v>
      </c>
    </row>
    <row r="86" spans="1:7" x14ac:dyDescent="0.15">
      <c r="A86" t="str">
        <f>INDEX(最终表!$A:$Y,语言表!$F86+4,INDEX($F$2:$L$2,1,$G86+1))</f>
        <v>t_director_title_1101750</v>
      </c>
      <c r="B86" t="str">
        <f>INDEX(最终表!$A:$Y,语言表!$F86+4,INDEX($F$1:$L$1,1,$G86+1))</f>
        <v>卡玛</v>
      </c>
      <c r="F86">
        <f t="shared" si="2"/>
        <v>82</v>
      </c>
      <c r="G86">
        <f t="shared" si="3"/>
        <v>0</v>
      </c>
    </row>
    <row r="87" spans="1:7" x14ac:dyDescent="0.15">
      <c r="A87" t="str">
        <f>INDEX(最终表!$A:$Y,语言表!$F87+4,INDEX($F$2:$L$2,1,$G87+1))</f>
        <v>t_director_title_1101751</v>
      </c>
      <c r="B87" t="str">
        <f>INDEX(最终表!$A:$Y,语言表!$F87+4,INDEX($F$1:$L$1,1,$G87+1))</f>
        <v>卡玛</v>
      </c>
      <c r="F87">
        <f t="shared" si="2"/>
        <v>83</v>
      </c>
      <c r="G87">
        <f t="shared" si="3"/>
        <v>0</v>
      </c>
    </row>
    <row r="88" spans="1:7" x14ac:dyDescent="0.15">
      <c r="A88" t="str">
        <f>INDEX(最终表!$A:$Y,语言表!$F88+4,INDEX($F$2:$L$2,1,$G88+1))</f>
        <v>t_director_title_1101800</v>
      </c>
      <c r="B88" t="str">
        <f>INDEX(最终表!$A:$Y,语言表!$F88+4,INDEX($F$1:$L$1,1,$G88+1))</f>
        <v>卡玛</v>
      </c>
      <c r="F88">
        <f t="shared" si="2"/>
        <v>84</v>
      </c>
      <c r="G88">
        <f t="shared" si="3"/>
        <v>0</v>
      </c>
    </row>
    <row r="89" spans="1:7" x14ac:dyDescent="0.15">
      <c r="A89" t="str">
        <f>INDEX(最终表!$A:$Y,语言表!$F89+4,INDEX($F$2:$L$2,1,$G89+1))</f>
        <v>t_director_title_1101801</v>
      </c>
      <c r="B89" t="str">
        <f>INDEX(最终表!$A:$Y,语言表!$F89+4,INDEX($F$1:$L$1,1,$G89+1))</f>
        <v>卡玛</v>
      </c>
      <c r="F89">
        <f t="shared" si="2"/>
        <v>85</v>
      </c>
      <c r="G89">
        <f t="shared" si="3"/>
        <v>0</v>
      </c>
    </row>
    <row r="90" spans="1:7" x14ac:dyDescent="0.15">
      <c r="A90" t="str">
        <f>INDEX(最终表!$A:$Y,语言表!$F90+4,INDEX($F$2:$L$2,1,$G90+1))</f>
        <v>t_director_title_1101900</v>
      </c>
      <c r="B90" t="str">
        <f>INDEX(最终表!$A:$Y,语言表!$F90+4,INDEX($F$1:$L$1,1,$G90+1))</f>
        <v>卡玛</v>
      </c>
      <c r="F90">
        <f t="shared" si="2"/>
        <v>86</v>
      </c>
      <c r="G90">
        <f t="shared" si="3"/>
        <v>0</v>
      </c>
    </row>
    <row r="91" spans="1:7" x14ac:dyDescent="0.15">
      <c r="A91" t="str">
        <f>INDEX(最终表!$A:$Y,语言表!$F91+4,INDEX($F$2:$L$2,1,$G91+1))</f>
        <v>t_director_title_1101901</v>
      </c>
      <c r="B91" t="str">
        <f>INDEX(最终表!$A:$Y,语言表!$F91+4,INDEX($F$1:$L$1,1,$G91+1))</f>
        <v>卡玛</v>
      </c>
      <c r="F91">
        <f t="shared" si="2"/>
        <v>87</v>
      </c>
      <c r="G91">
        <f t="shared" si="3"/>
        <v>0</v>
      </c>
    </row>
    <row r="92" spans="1:7" x14ac:dyDescent="0.15">
      <c r="A92" t="str">
        <f>INDEX(最终表!$A:$Y,语言表!$F92+4,INDEX($F$2:$L$2,1,$G92+1))</f>
        <v>t_director_title_1102000</v>
      </c>
      <c r="B92" t="str">
        <f>INDEX(最终表!$A:$Y,语言表!$F92+4,INDEX($F$1:$L$1,1,$G92+1))</f>
        <v>汉森</v>
      </c>
      <c r="F92">
        <f t="shared" si="2"/>
        <v>88</v>
      </c>
      <c r="G92">
        <f t="shared" si="3"/>
        <v>0</v>
      </c>
    </row>
    <row r="93" spans="1:7" x14ac:dyDescent="0.15">
      <c r="A93" t="str">
        <f>INDEX(最终表!$A:$Y,语言表!$F93+4,INDEX($F$2:$L$2,1,$G93+1))</f>
        <v>t_director_title_1102001</v>
      </c>
      <c r="B93" t="str">
        <f>INDEX(最终表!$A:$Y,语言表!$F93+4,INDEX($F$1:$L$1,1,$G93+1))</f>
        <v>汉森</v>
      </c>
      <c r="F93">
        <f t="shared" si="2"/>
        <v>89</v>
      </c>
      <c r="G93">
        <f t="shared" si="3"/>
        <v>0</v>
      </c>
    </row>
    <row r="94" spans="1:7" x14ac:dyDescent="0.15">
      <c r="A94" t="str">
        <f>INDEX(最终表!$A:$Y,语言表!$F94+4,INDEX($F$2:$L$2,1,$G94+1))</f>
        <v>t_director_title_1102002</v>
      </c>
      <c r="B94" t="str">
        <f>INDEX(最终表!$A:$Y,语言表!$F94+4,INDEX($F$1:$L$1,1,$G94+1))</f>
        <v>汉森</v>
      </c>
      <c r="F94">
        <f t="shared" si="2"/>
        <v>90</v>
      </c>
      <c r="G94">
        <f t="shared" si="3"/>
        <v>0</v>
      </c>
    </row>
    <row r="95" spans="1:7" x14ac:dyDescent="0.15">
      <c r="A95" t="str">
        <f>INDEX(最终表!$A:$Y,语言表!$F95+4,INDEX($F$2:$L$2,1,$G95+1))</f>
        <v>t_director_title_1102003</v>
      </c>
      <c r="B95" t="str">
        <f>INDEX(最终表!$A:$Y,语言表!$F95+4,INDEX($F$1:$L$1,1,$G95+1))</f>
        <v>汉森</v>
      </c>
      <c r="F95">
        <f t="shared" si="2"/>
        <v>91</v>
      </c>
      <c r="G95">
        <f t="shared" si="3"/>
        <v>0</v>
      </c>
    </row>
    <row r="96" spans="1:7" x14ac:dyDescent="0.15">
      <c r="A96" t="str">
        <f>INDEX(最终表!$A:$Y,语言表!$F96+4,INDEX($F$2:$L$2,1,$G96+1))</f>
        <v>t_director_title_1102050</v>
      </c>
      <c r="B96" t="str">
        <f>INDEX(最终表!$A:$Y,语言表!$F96+4,INDEX($F$1:$L$1,1,$G96+1))</f>
        <v>汉森</v>
      </c>
      <c r="F96">
        <f t="shared" si="2"/>
        <v>92</v>
      </c>
      <c r="G96">
        <f t="shared" si="3"/>
        <v>0</v>
      </c>
    </row>
    <row r="97" spans="1:7" x14ac:dyDescent="0.15">
      <c r="A97" t="str">
        <f>INDEX(最终表!$A:$Y,语言表!$F97+4,INDEX($F$2:$L$2,1,$G97+1))</f>
        <v>t_director_title_1102051</v>
      </c>
      <c r="B97" t="str">
        <f>INDEX(最终表!$A:$Y,语言表!$F97+4,INDEX($F$1:$L$1,1,$G97+1))</f>
        <v>汉森</v>
      </c>
      <c r="F97">
        <f t="shared" si="2"/>
        <v>93</v>
      </c>
      <c r="G97">
        <f t="shared" si="3"/>
        <v>0</v>
      </c>
    </row>
    <row r="98" spans="1:7" x14ac:dyDescent="0.15">
      <c r="A98" t="str">
        <f>INDEX(最终表!$A:$Y,语言表!$F98+4,INDEX($F$2:$L$2,1,$G98+1))</f>
        <v>t_director_title_1102100</v>
      </c>
      <c r="B98" t="str">
        <f>INDEX(最终表!$A:$Y,语言表!$F98+4,INDEX($F$1:$L$1,1,$G98+1))</f>
        <v>汉森</v>
      </c>
      <c r="F98">
        <f t="shared" si="2"/>
        <v>94</v>
      </c>
      <c r="G98">
        <f t="shared" si="3"/>
        <v>0</v>
      </c>
    </row>
    <row r="99" spans="1:7" x14ac:dyDescent="0.15">
      <c r="A99" t="str">
        <f>INDEX(最终表!$A:$Y,语言表!$F99+4,INDEX($F$2:$L$2,1,$G99+1))</f>
        <v>t_director_title_1102101</v>
      </c>
      <c r="B99" t="str">
        <f>INDEX(最终表!$A:$Y,语言表!$F99+4,INDEX($F$1:$L$1,1,$G99+1))</f>
        <v>汉森</v>
      </c>
      <c r="F99">
        <f t="shared" si="2"/>
        <v>95</v>
      </c>
      <c r="G99">
        <f t="shared" si="3"/>
        <v>0</v>
      </c>
    </row>
    <row r="100" spans="1:7" x14ac:dyDescent="0.15">
      <c r="A100" t="str">
        <f>INDEX(最终表!$A:$Y,语言表!$F100+4,INDEX($F$2:$L$2,1,$G100+1))</f>
        <v>t_director_title_1102102</v>
      </c>
      <c r="B100" t="str">
        <f>INDEX(最终表!$A:$Y,语言表!$F100+4,INDEX($F$1:$L$1,1,$G100+1))</f>
        <v>汉森</v>
      </c>
      <c r="F100">
        <f t="shared" si="2"/>
        <v>96</v>
      </c>
      <c r="G100">
        <f t="shared" si="3"/>
        <v>0</v>
      </c>
    </row>
    <row r="101" spans="1:7" x14ac:dyDescent="0.15">
      <c r="A101" t="str">
        <f>INDEX(最终表!$A:$Y,语言表!$F101+4,INDEX($F$2:$L$2,1,$G101+1))</f>
        <v>t_director_title_1102103</v>
      </c>
      <c r="B101" t="str">
        <f>INDEX(最终表!$A:$Y,语言表!$F101+4,INDEX($F$1:$L$1,1,$G101+1))</f>
        <v>汉森</v>
      </c>
      <c r="F101">
        <f t="shared" si="2"/>
        <v>97</v>
      </c>
      <c r="G101">
        <f t="shared" si="3"/>
        <v>0</v>
      </c>
    </row>
    <row r="102" spans="1:7" x14ac:dyDescent="0.15">
      <c r="A102" t="str">
        <f>INDEX(最终表!$A:$Y,语言表!$F102+4,INDEX($F$2:$L$2,1,$G102+1))</f>
        <v>t_director_title_1102104</v>
      </c>
      <c r="B102" t="str">
        <f>INDEX(最终表!$A:$Y,语言表!$F102+4,INDEX($F$1:$L$1,1,$G102+1))</f>
        <v>汉森</v>
      </c>
      <c r="F102">
        <f t="shared" si="2"/>
        <v>98</v>
      </c>
      <c r="G102">
        <f t="shared" si="3"/>
        <v>0</v>
      </c>
    </row>
    <row r="103" spans="1:7" x14ac:dyDescent="0.15">
      <c r="A103" t="str">
        <f>INDEX(最终表!$A:$Y,语言表!$F103+4,INDEX($F$2:$L$2,1,$G103+1))</f>
        <v>t_director_title_1102105</v>
      </c>
      <c r="B103" t="str">
        <f>INDEX(最终表!$A:$Y,语言表!$F103+4,INDEX($F$1:$L$1,1,$G103+1))</f>
        <v>汉森</v>
      </c>
      <c r="F103">
        <f t="shared" si="2"/>
        <v>99</v>
      </c>
      <c r="G103">
        <f t="shared" si="3"/>
        <v>0</v>
      </c>
    </row>
    <row r="104" spans="1:7" x14ac:dyDescent="0.15">
      <c r="A104" t="str">
        <f>INDEX(最终表!$A:$Y,语言表!$F104+4,INDEX($F$2:$L$2,1,$G104+1))</f>
        <v>t_director_title_1102106</v>
      </c>
      <c r="B104" t="str">
        <f>INDEX(最终表!$A:$Y,语言表!$F104+4,INDEX($F$1:$L$1,1,$G104+1))</f>
        <v>汉森</v>
      </c>
      <c r="F104">
        <f t="shared" si="2"/>
        <v>100</v>
      </c>
      <c r="G104">
        <f t="shared" si="3"/>
        <v>0</v>
      </c>
    </row>
    <row r="105" spans="1:7" x14ac:dyDescent="0.15">
      <c r="A105" t="str">
        <f>INDEX(最终表!$A:$Y,语言表!$F105+4,INDEX($F$2:$L$2,1,$G105+1))</f>
        <v>t_director_title_1102107</v>
      </c>
      <c r="B105" t="str">
        <f>INDEX(最终表!$A:$Y,语言表!$F105+4,INDEX($F$1:$L$1,1,$G105+1))</f>
        <v>汉森</v>
      </c>
      <c r="F105">
        <f t="shared" si="2"/>
        <v>101</v>
      </c>
      <c r="G105">
        <f t="shared" si="3"/>
        <v>0</v>
      </c>
    </row>
    <row r="106" spans="1:7" x14ac:dyDescent="0.15">
      <c r="A106" t="str">
        <f>INDEX(最终表!$A:$Y,语言表!$F106+4,INDEX($F$2:$L$2,1,$G106+1))</f>
        <v>t_director_title_1102200</v>
      </c>
      <c r="B106" t="str">
        <f>INDEX(最终表!$A:$Y,语言表!$F106+4,INDEX($F$1:$L$1,1,$G106+1))</f>
        <v>汉森</v>
      </c>
      <c r="F106">
        <f t="shared" si="2"/>
        <v>102</v>
      </c>
      <c r="G106">
        <f t="shared" si="3"/>
        <v>0</v>
      </c>
    </row>
    <row r="107" spans="1:7" x14ac:dyDescent="0.15">
      <c r="A107" t="str">
        <f>INDEX(最终表!$A:$Y,语言表!$F107+4,INDEX($F$2:$L$2,1,$G107+1))</f>
        <v>t_director_title_1102201</v>
      </c>
      <c r="B107" t="str">
        <f>INDEX(最终表!$A:$Y,语言表!$F107+4,INDEX($F$1:$L$1,1,$G107+1))</f>
        <v>汉森</v>
      </c>
      <c r="F107">
        <f t="shared" si="2"/>
        <v>103</v>
      </c>
      <c r="G107">
        <f t="shared" si="3"/>
        <v>0</v>
      </c>
    </row>
    <row r="108" spans="1:7" x14ac:dyDescent="0.15">
      <c r="A108" t="str">
        <f>INDEX(最终表!$A:$Y,语言表!$F108+4,INDEX($F$2:$L$2,1,$G108+1))</f>
        <v>t_director_title_1102300</v>
      </c>
      <c r="B108" t="str">
        <f>INDEX(最终表!$A:$Y,语言表!$F108+4,INDEX($F$1:$L$1,1,$G108+1))</f>
        <v>沃克</v>
      </c>
      <c r="F108">
        <f t="shared" si="2"/>
        <v>104</v>
      </c>
      <c r="G108">
        <f t="shared" si="3"/>
        <v>0</v>
      </c>
    </row>
    <row r="109" spans="1:7" x14ac:dyDescent="0.15">
      <c r="A109" t="str">
        <f>INDEX(最终表!$A:$Y,语言表!$F109+4,INDEX($F$2:$L$2,1,$G109+1))</f>
        <v>t_director_title_1102301</v>
      </c>
      <c r="B109" t="str">
        <f>INDEX(最终表!$A:$Y,语言表!$F109+4,INDEX($F$1:$L$1,1,$G109+1))</f>
        <v>沃克</v>
      </c>
      <c r="F109">
        <f t="shared" si="2"/>
        <v>105</v>
      </c>
      <c r="G109">
        <f t="shared" si="3"/>
        <v>0</v>
      </c>
    </row>
    <row r="110" spans="1:7" x14ac:dyDescent="0.15">
      <c r="A110" t="str">
        <f>INDEX(最终表!$A:$Y,语言表!$F110+4,INDEX($F$2:$L$2,1,$G110+1))</f>
        <v>t_director_title_1102302</v>
      </c>
      <c r="B110" t="str">
        <f>INDEX(最终表!$A:$Y,语言表!$F110+4,INDEX($F$1:$L$1,1,$G110+1))</f>
        <v>沃克</v>
      </c>
      <c r="F110">
        <f t="shared" si="2"/>
        <v>106</v>
      </c>
      <c r="G110">
        <f t="shared" si="3"/>
        <v>0</v>
      </c>
    </row>
    <row r="111" spans="1:7" x14ac:dyDescent="0.15">
      <c r="A111" t="str">
        <f>INDEX(最终表!$A:$Y,语言表!$F111+4,INDEX($F$2:$L$2,1,$G111+1))</f>
        <v>t_director_title_1102310</v>
      </c>
      <c r="B111" t="str">
        <f>INDEX(最终表!$A:$Y,语言表!$F111+4,INDEX($F$1:$L$1,1,$G111+1))</f>
        <v>沃克</v>
      </c>
      <c r="F111">
        <f t="shared" si="2"/>
        <v>107</v>
      </c>
      <c r="G111">
        <f t="shared" si="3"/>
        <v>0</v>
      </c>
    </row>
    <row r="112" spans="1:7" x14ac:dyDescent="0.15">
      <c r="A112" t="str">
        <f>INDEX(最终表!$A:$Y,语言表!$F112+4,INDEX($F$2:$L$2,1,$G112+1))</f>
        <v>t_director_title_1102311</v>
      </c>
      <c r="B112" t="str">
        <f>INDEX(最终表!$A:$Y,语言表!$F112+4,INDEX($F$1:$L$1,1,$G112+1))</f>
        <v>沃克</v>
      </c>
      <c r="F112">
        <f t="shared" si="2"/>
        <v>108</v>
      </c>
      <c r="G112">
        <f t="shared" si="3"/>
        <v>0</v>
      </c>
    </row>
    <row r="113" spans="1:7" x14ac:dyDescent="0.15">
      <c r="A113" t="str">
        <f>INDEX(最终表!$A:$Y,语言表!$F113+4,INDEX($F$2:$L$2,1,$G113+1))</f>
        <v>t_director_title_1102312</v>
      </c>
      <c r="B113" t="str">
        <f>INDEX(最终表!$A:$Y,语言表!$F113+4,INDEX($F$1:$L$1,1,$G113+1))</f>
        <v>沃克</v>
      </c>
      <c r="F113">
        <f t="shared" si="2"/>
        <v>109</v>
      </c>
      <c r="G113">
        <f t="shared" si="3"/>
        <v>0</v>
      </c>
    </row>
    <row r="114" spans="1:7" x14ac:dyDescent="0.15">
      <c r="A114" t="str">
        <f>INDEX(最终表!$A:$Y,语言表!$F114+4,INDEX($F$2:$L$2,1,$G114+1))</f>
        <v>t_director_title_1102350</v>
      </c>
      <c r="B114" t="str">
        <f>INDEX(最终表!$A:$Y,语言表!$F114+4,INDEX($F$1:$L$1,1,$G114+1))</f>
        <v>沃克</v>
      </c>
      <c r="F114">
        <f t="shared" si="2"/>
        <v>110</v>
      </c>
      <c r="G114">
        <f t="shared" si="3"/>
        <v>0</v>
      </c>
    </row>
    <row r="115" spans="1:7" x14ac:dyDescent="0.15">
      <c r="A115" t="str">
        <f>INDEX(最终表!$A:$Y,语言表!$F115+4,INDEX($F$2:$L$2,1,$G115+1))</f>
        <v>t_director_title_1102351</v>
      </c>
      <c r="B115" t="str">
        <f>INDEX(最终表!$A:$Y,语言表!$F115+4,INDEX($F$1:$L$1,1,$G115+1))</f>
        <v>沃克</v>
      </c>
      <c r="F115">
        <f t="shared" si="2"/>
        <v>111</v>
      </c>
      <c r="G115">
        <f t="shared" si="3"/>
        <v>0</v>
      </c>
    </row>
    <row r="116" spans="1:7" x14ac:dyDescent="0.15">
      <c r="A116" t="str">
        <f>INDEX(最终表!$A:$Y,语言表!$F116+4,INDEX($F$2:$L$2,1,$G116+1))</f>
        <v>t_director_title_1102352</v>
      </c>
      <c r="B116" t="str">
        <f>INDEX(最终表!$A:$Y,语言表!$F116+4,INDEX($F$1:$L$1,1,$G116+1))</f>
        <v>沃克</v>
      </c>
      <c r="F116">
        <f t="shared" si="2"/>
        <v>112</v>
      </c>
      <c r="G116">
        <f t="shared" si="3"/>
        <v>0</v>
      </c>
    </row>
    <row r="117" spans="1:7" x14ac:dyDescent="0.15">
      <c r="A117" t="str">
        <f>INDEX(最终表!$A:$Y,语言表!$F117+4,INDEX($F$2:$L$2,1,$G117+1))</f>
        <v>t_director_title_1102400</v>
      </c>
      <c r="B117" t="str">
        <f>INDEX(最终表!$A:$Y,语言表!$F117+4,INDEX($F$1:$L$1,1,$G117+1))</f>
        <v>沃克</v>
      </c>
      <c r="F117">
        <f t="shared" si="2"/>
        <v>113</v>
      </c>
      <c r="G117">
        <f t="shared" si="3"/>
        <v>0</v>
      </c>
    </row>
    <row r="118" spans="1:7" x14ac:dyDescent="0.15">
      <c r="A118" t="str">
        <f>INDEX(最终表!$A:$Y,语言表!$F118+4,INDEX($F$2:$L$2,1,$G118+1))</f>
        <v>t_director_title_1102401</v>
      </c>
      <c r="B118" t="str">
        <f>INDEX(最终表!$A:$Y,语言表!$F118+4,INDEX($F$1:$L$1,1,$G118+1))</f>
        <v>沃克</v>
      </c>
      <c r="F118">
        <f t="shared" si="2"/>
        <v>114</v>
      </c>
      <c r="G118">
        <f t="shared" si="3"/>
        <v>0</v>
      </c>
    </row>
    <row r="119" spans="1:7" x14ac:dyDescent="0.15">
      <c r="A119" t="str">
        <f>INDEX(最终表!$A:$Y,语言表!$F119+4,INDEX($F$2:$L$2,1,$G119+1))</f>
        <v>t_director_title_1102410</v>
      </c>
      <c r="B119" t="str">
        <f>INDEX(最终表!$A:$Y,语言表!$F119+4,INDEX($F$1:$L$1,1,$G119+1))</f>
        <v>沃克</v>
      </c>
      <c r="F119">
        <f t="shared" si="2"/>
        <v>115</v>
      </c>
      <c r="G119">
        <f t="shared" si="3"/>
        <v>0</v>
      </c>
    </row>
    <row r="120" spans="1:7" x14ac:dyDescent="0.15">
      <c r="A120" t="str">
        <f>INDEX(最终表!$A:$Y,语言表!$F120+4,INDEX($F$2:$L$2,1,$G120+1))</f>
        <v>t_director_title_1102411</v>
      </c>
      <c r="B120" t="str">
        <f>INDEX(最终表!$A:$Y,语言表!$F120+4,INDEX($F$1:$L$1,1,$G120+1))</f>
        <v>沃克</v>
      </c>
      <c r="F120">
        <f t="shared" si="2"/>
        <v>116</v>
      </c>
      <c r="G120">
        <f t="shared" si="3"/>
        <v>0</v>
      </c>
    </row>
    <row r="121" spans="1:7" x14ac:dyDescent="0.15">
      <c r="A121" t="str">
        <f>INDEX(最终表!$A:$Y,语言表!$F121+4,INDEX($F$2:$L$2,1,$G121+1))</f>
        <v>t_director_title_1102450</v>
      </c>
      <c r="B121" t="str">
        <f>INDEX(最终表!$A:$Y,语言表!$F121+4,INDEX($F$1:$L$1,1,$G121+1))</f>
        <v>沃克</v>
      </c>
      <c r="F121">
        <f t="shared" si="2"/>
        <v>117</v>
      </c>
      <c r="G121">
        <f t="shared" si="3"/>
        <v>0</v>
      </c>
    </row>
    <row r="122" spans="1:7" x14ac:dyDescent="0.15">
      <c r="A122" t="str">
        <f>INDEX(最终表!$A:$Y,语言表!$F122+4,INDEX($F$2:$L$2,1,$G122+1))</f>
        <v>t_director_title_1102451</v>
      </c>
      <c r="B122" t="str">
        <f>INDEX(最终表!$A:$Y,语言表!$F122+4,INDEX($F$1:$L$1,1,$G122+1))</f>
        <v>沃克</v>
      </c>
      <c r="F122">
        <f t="shared" si="2"/>
        <v>118</v>
      </c>
      <c r="G122">
        <f t="shared" si="3"/>
        <v>0</v>
      </c>
    </row>
    <row r="123" spans="1:7" x14ac:dyDescent="0.15">
      <c r="A123" t="str">
        <f>INDEX(最终表!$A:$Y,语言表!$F123+4,INDEX($F$2:$L$2,1,$G123+1))</f>
        <v>t_director_title_1102480</v>
      </c>
      <c r="B123" t="str">
        <f>INDEX(最终表!$A:$Y,语言表!$F123+4,INDEX($F$1:$L$1,1,$G123+1))</f>
        <v>沃克</v>
      </c>
      <c r="F123">
        <f t="shared" si="2"/>
        <v>119</v>
      </c>
      <c r="G123">
        <f t="shared" si="3"/>
        <v>0</v>
      </c>
    </row>
    <row r="124" spans="1:7" x14ac:dyDescent="0.15">
      <c r="A124" t="str">
        <f>INDEX(最终表!$A:$Y,语言表!$F124+4,INDEX($F$2:$L$2,1,$G124+1))</f>
        <v>t_director_title_1102481</v>
      </c>
      <c r="B124" t="str">
        <f>INDEX(最终表!$A:$Y,语言表!$F124+4,INDEX($F$1:$L$1,1,$G124+1))</f>
        <v>沃克</v>
      </c>
      <c r="F124">
        <f t="shared" si="2"/>
        <v>120</v>
      </c>
      <c r="G124">
        <f t="shared" si="3"/>
        <v>0</v>
      </c>
    </row>
    <row r="125" spans="1:7" x14ac:dyDescent="0.15">
      <c r="A125" t="str">
        <f>INDEX(最终表!$A:$Y,语言表!$F125+4,INDEX($F$2:$L$2,1,$G125+1))</f>
        <v>t_director_title_1102482</v>
      </c>
      <c r="B125" t="str">
        <f>INDEX(最终表!$A:$Y,语言表!$F125+4,INDEX($F$1:$L$1,1,$G125+1))</f>
        <v>沃克</v>
      </c>
      <c r="F125">
        <f t="shared" si="2"/>
        <v>121</v>
      </c>
      <c r="G125">
        <f t="shared" si="3"/>
        <v>0</v>
      </c>
    </row>
    <row r="126" spans="1:7" x14ac:dyDescent="0.15">
      <c r="A126" t="str">
        <f>INDEX(最终表!$A:$Y,语言表!$F126+4,INDEX($F$2:$L$2,1,$G126+1))</f>
        <v>t_director_title_1102483</v>
      </c>
      <c r="B126" t="str">
        <f>INDEX(最终表!$A:$Y,语言表!$F126+4,INDEX($F$1:$L$1,1,$G126+1))</f>
        <v>沃克</v>
      </c>
      <c r="F126">
        <f t="shared" si="2"/>
        <v>122</v>
      </c>
      <c r="G126">
        <f t="shared" si="3"/>
        <v>0</v>
      </c>
    </row>
    <row r="127" spans="1:7" x14ac:dyDescent="0.15">
      <c r="A127" t="str">
        <f>INDEX(最终表!$A:$Y,语言表!$F127+4,INDEX($F$2:$L$2,1,$G127+1))</f>
        <v>t_director_title_1102484</v>
      </c>
      <c r="B127" t="str">
        <f>INDEX(最终表!$A:$Y,语言表!$F127+4,INDEX($F$1:$L$1,1,$G127+1))</f>
        <v>沃克</v>
      </c>
      <c r="F127">
        <f t="shared" si="2"/>
        <v>123</v>
      </c>
      <c r="G127">
        <f t="shared" si="3"/>
        <v>0</v>
      </c>
    </row>
    <row r="128" spans="1:7" x14ac:dyDescent="0.15">
      <c r="A128" t="str">
        <f>INDEX(最终表!$A:$Y,语言表!$F128+4,INDEX($F$2:$L$2,1,$G128+1))</f>
        <v>t_director_title_1102500</v>
      </c>
      <c r="B128" t="str">
        <f>INDEX(最终表!$A:$Y,语言表!$F128+4,INDEX($F$1:$L$1,1,$G128+1))</f>
        <v>沃克</v>
      </c>
      <c r="F128">
        <f t="shared" si="2"/>
        <v>124</v>
      </c>
      <c r="G128">
        <f t="shared" si="3"/>
        <v>0</v>
      </c>
    </row>
    <row r="129" spans="1:7" x14ac:dyDescent="0.15">
      <c r="A129" t="str">
        <f>INDEX(最终表!$A:$Y,语言表!$F129+4,INDEX($F$2:$L$2,1,$G129+1))</f>
        <v>t_director_title_1102501</v>
      </c>
      <c r="B129" t="str">
        <f>INDEX(最终表!$A:$Y,语言表!$F129+4,INDEX($F$1:$L$1,1,$G129+1))</f>
        <v>沃克</v>
      </c>
      <c r="F129">
        <f t="shared" si="2"/>
        <v>125</v>
      </c>
      <c r="G129">
        <f t="shared" si="3"/>
        <v>0</v>
      </c>
    </row>
    <row r="130" spans="1:7" x14ac:dyDescent="0.15">
      <c r="A130" t="str">
        <f>INDEX(最终表!$A:$Y,语言表!$F130+4,INDEX($F$2:$L$2,1,$G130+1))</f>
        <v>t_director_title_1102600</v>
      </c>
      <c r="B130" t="str">
        <f>INDEX(最终表!$A:$Y,语言表!$F130+4,INDEX($F$1:$L$1,1,$G130+1))</f>
        <v>沃克</v>
      </c>
      <c r="F130">
        <f t="shared" si="2"/>
        <v>126</v>
      </c>
      <c r="G130">
        <f t="shared" si="3"/>
        <v>0</v>
      </c>
    </row>
    <row r="131" spans="1:7" x14ac:dyDescent="0.15">
      <c r="A131" t="str">
        <f>INDEX(最终表!$A:$Y,语言表!$F131+4,INDEX($F$2:$L$2,1,$G131+1))</f>
        <v>t_director_title_1102650</v>
      </c>
      <c r="B131" t="str">
        <f>INDEX(最终表!$A:$Y,语言表!$F131+4,INDEX($F$1:$L$1,1,$G131+1))</f>
        <v>沃克</v>
      </c>
      <c r="F131">
        <f t="shared" si="2"/>
        <v>127</v>
      </c>
      <c r="G131">
        <f t="shared" si="3"/>
        <v>0</v>
      </c>
    </row>
    <row r="132" spans="1:7" x14ac:dyDescent="0.15">
      <c r="A132" t="str">
        <f>INDEX(最终表!$A:$Y,语言表!$F132+4,INDEX($F$2:$L$2,1,$G132+1))</f>
        <v>t_director_title_1102651</v>
      </c>
      <c r="B132" t="str">
        <f>INDEX(最终表!$A:$Y,语言表!$F132+4,INDEX($F$1:$L$1,1,$G132+1))</f>
        <v>沃克</v>
      </c>
      <c r="F132">
        <f t="shared" si="2"/>
        <v>128</v>
      </c>
      <c r="G132">
        <f t="shared" si="3"/>
        <v>0</v>
      </c>
    </row>
    <row r="133" spans="1:7" x14ac:dyDescent="0.15">
      <c r="A133" t="str">
        <f>INDEX(最终表!$A:$Y,语言表!$F133+4,INDEX($F$2:$L$2,1,$G133+1))</f>
        <v>t_director_title_1102652</v>
      </c>
      <c r="B133" t="str">
        <f>INDEX(最终表!$A:$Y,语言表!$F133+4,INDEX($F$1:$L$1,1,$G133+1))</f>
        <v>沃克</v>
      </c>
      <c r="F133">
        <f t="shared" ref="F133:F196" si="4">MOD(ROW()-4,$N$1-3)</f>
        <v>129</v>
      </c>
      <c r="G133">
        <f t="shared" ref="G133:G196" si="5">INT((ROW()-4)/($N$1-3))</f>
        <v>0</v>
      </c>
    </row>
    <row r="134" spans="1:7" x14ac:dyDescent="0.15">
      <c r="A134" t="str">
        <f>INDEX(最终表!$A:$Y,语言表!$F134+4,INDEX($F$2:$L$2,1,$G134+1))</f>
        <v>t_director_title_1102700</v>
      </c>
      <c r="B134" t="str">
        <f>INDEX(最终表!$A:$Y,语言表!$F134+4,INDEX($F$1:$L$1,1,$G134+1))</f>
        <v>沃克</v>
      </c>
      <c r="F134">
        <f t="shared" si="4"/>
        <v>130</v>
      </c>
      <c r="G134">
        <f t="shared" si="5"/>
        <v>0</v>
      </c>
    </row>
    <row r="135" spans="1:7" x14ac:dyDescent="0.15">
      <c r="A135" t="str">
        <f>INDEX(最终表!$A:$Y,语言表!$F135+4,INDEX($F$2:$L$2,1,$G135+1))</f>
        <v>t_director_title_1102701</v>
      </c>
      <c r="B135" t="str">
        <f>INDEX(最终表!$A:$Y,语言表!$F135+4,INDEX($F$1:$L$1,1,$G135+1))</f>
        <v>沃克</v>
      </c>
      <c r="F135">
        <f t="shared" si="4"/>
        <v>131</v>
      </c>
      <c r="G135">
        <f t="shared" si="5"/>
        <v>0</v>
      </c>
    </row>
    <row r="136" spans="1:7" x14ac:dyDescent="0.15">
      <c r="A136" t="str">
        <f>INDEX(最终表!$A:$Y,语言表!$F136+4,INDEX($F$2:$L$2,1,$G136+1))</f>
        <v>t_director_title_1102800</v>
      </c>
      <c r="B136" t="str">
        <f>INDEX(最终表!$A:$Y,语言表!$F136+4,INDEX($F$1:$L$1,1,$G136+1))</f>
        <v>沃克</v>
      </c>
      <c r="F136">
        <f t="shared" si="4"/>
        <v>132</v>
      </c>
      <c r="G136">
        <f t="shared" si="5"/>
        <v>0</v>
      </c>
    </row>
    <row r="137" spans="1:7" x14ac:dyDescent="0.15">
      <c r="A137" t="str">
        <f>INDEX(最终表!$A:$Y,语言表!$F137+4,INDEX($F$2:$L$2,1,$G137+1))</f>
        <v>t_director_title_1102801</v>
      </c>
      <c r="B137" t="str">
        <f>INDEX(最终表!$A:$Y,语言表!$F137+4,INDEX($F$1:$L$1,1,$G137+1))</f>
        <v>沃克</v>
      </c>
      <c r="F137">
        <f t="shared" si="4"/>
        <v>133</v>
      </c>
      <c r="G137">
        <f t="shared" si="5"/>
        <v>0</v>
      </c>
    </row>
    <row r="138" spans="1:7" x14ac:dyDescent="0.15">
      <c r="A138" t="str">
        <f>INDEX(最终表!$A:$Y,语言表!$F138+4,INDEX($F$2:$L$2,1,$G138+1))</f>
        <v>t_director_title_1102802</v>
      </c>
      <c r="B138" t="str">
        <f>INDEX(最终表!$A:$Y,语言表!$F138+4,INDEX($F$1:$L$1,1,$G138+1))</f>
        <v>沃克</v>
      </c>
      <c r="F138">
        <f t="shared" si="4"/>
        <v>134</v>
      </c>
      <c r="G138">
        <f t="shared" si="5"/>
        <v>0</v>
      </c>
    </row>
    <row r="139" spans="1:7" x14ac:dyDescent="0.15">
      <c r="A139" t="str">
        <f>INDEX(最终表!$A:$Y,语言表!$F139+4,INDEX($F$2:$L$2,1,$G139+1))</f>
        <v>t_director_title_1102803</v>
      </c>
      <c r="B139" t="str">
        <f>INDEX(最终表!$A:$Y,语言表!$F139+4,INDEX($F$1:$L$1,1,$G139+1))</f>
        <v>沃克</v>
      </c>
      <c r="F139">
        <f t="shared" si="4"/>
        <v>135</v>
      </c>
      <c r="G139">
        <f t="shared" si="5"/>
        <v>0</v>
      </c>
    </row>
    <row r="140" spans="1:7" x14ac:dyDescent="0.15">
      <c r="A140" t="str">
        <f>INDEX(最终表!$A:$Y,语言表!$F140+4,INDEX($F$2:$L$2,1,$G140+1))</f>
        <v>t_director_title_1102804</v>
      </c>
      <c r="B140" t="str">
        <f>INDEX(最终表!$A:$Y,语言表!$F140+4,INDEX($F$1:$L$1,1,$G140+1))</f>
        <v>沃克</v>
      </c>
      <c r="F140">
        <f t="shared" si="4"/>
        <v>136</v>
      </c>
      <c r="G140">
        <f t="shared" si="5"/>
        <v>0</v>
      </c>
    </row>
    <row r="141" spans="1:7" x14ac:dyDescent="0.15">
      <c r="A141" t="str">
        <f>INDEX(最终表!$A:$Y,语言表!$F141+4,INDEX($F$2:$L$2,1,$G141+1))</f>
        <v>t_director_title_1102805</v>
      </c>
      <c r="B141" t="str">
        <f>INDEX(最终表!$A:$Y,语言表!$F141+4,INDEX($F$1:$L$1,1,$G141+1))</f>
        <v>沃克</v>
      </c>
      <c r="F141">
        <f t="shared" si="4"/>
        <v>137</v>
      </c>
      <c r="G141">
        <f t="shared" si="5"/>
        <v>0</v>
      </c>
    </row>
    <row r="142" spans="1:7" x14ac:dyDescent="0.15">
      <c r="A142" t="str">
        <f>INDEX(最终表!$A:$Y,语言表!$F142+4,INDEX($F$2:$L$2,1,$G142+1))</f>
        <v>t_director_title_1102900</v>
      </c>
      <c r="B142" t="str">
        <f>INDEX(最终表!$A:$Y,语言表!$F142+4,INDEX($F$1:$L$1,1,$G142+1))</f>
        <v>皮特曼</v>
      </c>
      <c r="F142">
        <f t="shared" si="4"/>
        <v>138</v>
      </c>
      <c r="G142">
        <f t="shared" si="5"/>
        <v>0</v>
      </c>
    </row>
    <row r="143" spans="1:7" x14ac:dyDescent="0.15">
      <c r="A143" t="str">
        <f>INDEX(最终表!$A:$Y,语言表!$F143+4,INDEX($F$2:$L$2,1,$G143+1))</f>
        <v>t_director_title_1102901</v>
      </c>
      <c r="B143" t="str">
        <f>INDEX(最终表!$A:$Y,语言表!$F143+4,INDEX($F$1:$L$1,1,$G143+1))</f>
        <v>皮特曼</v>
      </c>
      <c r="F143">
        <f t="shared" si="4"/>
        <v>139</v>
      </c>
      <c r="G143">
        <f t="shared" si="5"/>
        <v>0</v>
      </c>
    </row>
    <row r="144" spans="1:7" x14ac:dyDescent="0.15">
      <c r="A144" t="str">
        <f>INDEX(最终表!$A:$Y,语言表!$F144+4,INDEX($F$2:$L$2,1,$G144+1))</f>
        <v>t_director_title_1103000</v>
      </c>
      <c r="B144" t="str">
        <f>INDEX(最终表!$A:$Y,语言表!$F144+4,INDEX($F$1:$L$1,1,$G144+1))</f>
        <v>皮特曼</v>
      </c>
      <c r="F144">
        <f t="shared" si="4"/>
        <v>140</v>
      </c>
      <c r="G144">
        <f t="shared" si="5"/>
        <v>0</v>
      </c>
    </row>
    <row r="145" spans="1:7" x14ac:dyDescent="0.15">
      <c r="A145" t="str">
        <f>INDEX(最终表!$A:$Y,语言表!$F145+4,INDEX($F$2:$L$2,1,$G145+1))</f>
        <v>t_director_title_1103001</v>
      </c>
      <c r="B145" t="str">
        <f>INDEX(最终表!$A:$Y,语言表!$F145+4,INDEX($F$1:$L$1,1,$G145+1))</f>
        <v>皮特曼</v>
      </c>
      <c r="F145">
        <f t="shared" si="4"/>
        <v>141</v>
      </c>
      <c r="G145">
        <f t="shared" si="5"/>
        <v>0</v>
      </c>
    </row>
    <row r="146" spans="1:7" x14ac:dyDescent="0.15">
      <c r="A146" t="str">
        <f>INDEX(最终表!$A:$Y,语言表!$F146+4,INDEX($F$2:$L$2,1,$G146+1))</f>
        <v>t_director_title_1103002</v>
      </c>
      <c r="B146" t="str">
        <f>INDEX(最终表!$A:$Y,语言表!$F146+4,INDEX($F$1:$L$1,1,$G146+1))</f>
        <v>皮特曼</v>
      </c>
      <c r="F146">
        <f t="shared" si="4"/>
        <v>142</v>
      </c>
      <c r="G146">
        <f t="shared" si="5"/>
        <v>0</v>
      </c>
    </row>
    <row r="147" spans="1:7" x14ac:dyDescent="0.15">
      <c r="A147" t="str">
        <f>INDEX(最终表!$A:$Y,语言表!$F147+4,INDEX($F$2:$L$2,1,$G147+1))</f>
        <v>t_director_title_1103003</v>
      </c>
      <c r="B147" t="str">
        <f>INDEX(最终表!$A:$Y,语言表!$F147+4,INDEX($F$1:$L$1,1,$G147+1))</f>
        <v>皮特曼</v>
      </c>
      <c r="F147">
        <f t="shared" si="4"/>
        <v>143</v>
      </c>
      <c r="G147">
        <f t="shared" si="5"/>
        <v>0</v>
      </c>
    </row>
    <row r="148" spans="1:7" x14ac:dyDescent="0.15">
      <c r="A148" t="str">
        <f>INDEX(最终表!$A:$Y,语言表!$F148+4,INDEX($F$2:$L$2,1,$G148+1))</f>
        <v>t_director_title_1103100</v>
      </c>
      <c r="B148" t="str">
        <f>INDEX(最终表!$A:$Y,语言表!$F148+4,INDEX($F$1:$L$1,1,$G148+1))</f>
        <v>皮特曼</v>
      </c>
      <c r="F148">
        <f t="shared" si="4"/>
        <v>144</v>
      </c>
      <c r="G148">
        <f t="shared" si="5"/>
        <v>0</v>
      </c>
    </row>
    <row r="149" spans="1:7" x14ac:dyDescent="0.15">
      <c r="A149" t="str">
        <f>INDEX(最终表!$A:$Y,语言表!$F149+4,INDEX($F$2:$L$2,1,$G149+1))</f>
        <v>t_director_title_1103101</v>
      </c>
      <c r="B149" t="str">
        <f>INDEX(最终表!$A:$Y,语言表!$F149+4,INDEX($F$1:$L$1,1,$G149+1))</f>
        <v>皮特曼</v>
      </c>
      <c r="F149">
        <f t="shared" si="4"/>
        <v>145</v>
      </c>
      <c r="G149">
        <f t="shared" si="5"/>
        <v>0</v>
      </c>
    </row>
    <row r="150" spans="1:7" x14ac:dyDescent="0.15">
      <c r="A150" t="str">
        <f>INDEX(最终表!$A:$Y,语言表!$F150+4,INDEX($F$2:$L$2,1,$G150+1))</f>
        <v>t_director_title_1103200</v>
      </c>
      <c r="B150" t="str">
        <f>INDEX(最终表!$A:$Y,语言表!$F150+4,INDEX($F$1:$L$1,1,$G150+1))</f>
        <v>皮特曼</v>
      </c>
      <c r="F150">
        <f t="shared" si="4"/>
        <v>146</v>
      </c>
      <c r="G150">
        <f t="shared" si="5"/>
        <v>0</v>
      </c>
    </row>
    <row r="151" spans="1:7" x14ac:dyDescent="0.15">
      <c r="A151" t="str">
        <f>INDEX(最终表!$A:$Y,语言表!$F151+4,INDEX($F$2:$L$2,1,$G151+1))</f>
        <v>t_director_title_1103201</v>
      </c>
      <c r="B151" t="str">
        <f>INDEX(最终表!$A:$Y,语言表!$F151+4,INDEX($F$1:$L$1,1,$G151+1))</f>
        <v>皮特曼</v>
      </c>
      <c r="F151">
        <f t="shared" si="4"/>
        <v>147</v>
      </c>
      <c r="G151">
        <f t="shared" si="5"/>
        <v>0</v>
      </c>
    </row>
    <row r="152" spans="1:7" x14ac:dyDescent="0.15">
      <c r="A152" t="str">
        <f>INDEX(最终表!$A:$Y,语言表!$F152+4,INDEX($F$2:$L$2,1,$G152+1))</f>
        <v>t_director_title_1200100</v>
      </c>
      <c r="B152" t="str">
        <f>INDEX(最终表!$A:$Y,语言表!$F152+4,INDEX($F$1:$L$1,1,$G152+1))</f>
        <v>熊</v>
      </c>
      <c r="F152">
        <f t="shared" si="4"/>
        <v>148</v>
      </c>
      <c r="G152">
        <f t="shared" si="5"/>
        <v>0</v>
      </c>
    </row>
    <row r="153" spans="1:7" x14ac:dyDescent="0.15">
      <c r="A153" t="str">
        <f>INDEX(最终表!$A:$Y,语言表!$F153+4,INDEX($F$2:$L$2,1,$G153+1))</f>
        <v>t_director_title_1200200</v>
      </c>
      <c r="B153" t="str">
        <f>INDEX(最终表!$A:$Y,语言表!$F153+4,INDEX($F$1:$L$1,1,$G153+1))</f>
        <v>盗贼</v>
      </c>
      <c r="F153">
        <f t="shared" si="4"/>
        <v>149</v>
      </c>
      <c r="G153">
        <f t="shared" si="5"/>
        <v>0</v>
      </c>
    </row>
    <row r="154" spans="1:7" x14ac:dyDescent="0.15">
      <c r="A154" t="str">
        <f>INDEX(最终表!$A:$Y,语言表!$F154+4,INDEX($F$2:$L$2,1,$G154+1))</f>
        <v>t_director_title_1200300</v>
      </c>
      <c r="B154" t="str">
        <f>INDEX(最终表!$A:$Y,语言表!$F154+4,INDEX($F$1:$L$1,1,$G154+1))</f>
        <v>哥布林狂战士</v>
      </c>
      <c r="F154">
        <f t="shared" si="4"/>
        <v>150</v>
      </c>
      <c r="G154">
        <f t="shared" si="5"/>
        <v>0</v>
      </c>
    </row>
    <row r="155" spans="1:7" x14ac:dyDescent="0.15">
      <c r="A155" t="str">
        <f>INDEX(最终表!$A:$Y,语言表!$F155+4,INDEX($F$2:$L$2,1,$G155+1))</f>
        <v>t_director_title_1200400</v>
      </c>
      <c r="B155" t="str">
        <f>INDEX(最终表!$A:$Y,语言表!$F155+4,INDEX($F$1:$L$1,1,$G155+1))</f>
        <v>哥布林大祭师</v>
      </c>
      <c r="F155">
        <f t="shared" si="4"/>
        <v>151</v>
      </c>
      <c r="G155">
        <f t="shared" si="5"/>
        <v>0</v>
      </c>
    </row>
    <row r="156" spans="1:7" x14ac:dyDescent="0.15">
      <c r="A156" t="str">
        <f>INDEX(最终表!$A:$Y,语言表!$F156+4,INDEX($F$2:$L$2,1,$G156+1))</f>
        <v>t_director_title_2000000</v>
      </c>
      <c r="B156" t="str">
        <f>INDEX(最终表!$A:$Y,语言表!$F156+4,INDEX($F$1:$L$1,1,$G156+1))</f>
        <v>缇娜</v>
      </c>
      <c r="F156">
        <f t="shared" si="4"/>
        <v>152</v>
      </c>
      <c r="G156">
        <f t="shared" si="5"/>
        <v>0</v>
      </c>
    </row>
    <row r="157" spans="1:7" x14ac:dyDescent="0.15">
      <c r="A157" t="str">
        <f>INDEX(最终表!$A:$Y,语言表!$F157+4,INDEX($F$2:$L$2,1,$G157+1))</f>
        <v>t_director_title_2000001</v>
      </c>
      <c r="B157" t="str">
        <f>INDEX(最终表!$A:$Y,语言表!$F157+4,INDEX($F$1:$L$1,1,$G157+1))</f>
        <v>伊迪丝</v>
      </c>
      <c r="F157">
        <f t="shared" si="4"/>
        <v>153</v>
      </c>
      <c r="G157">
        <f t="shared" si="5"/>
        <v>0</v>
      </c>
    </row>
    <row r="158" spans="1:7" x14ac:dyDescent="0.15">
      <c r="A158" t="str">
        <f>INDEX(最终表!$A:$Y,语言表!$F158+4,INDEX($F$2:$L$2,1,$G158+1))</f>
        <v>t_director_title_2000002</v>
      </c>
      <c r="B158" t="str">
        <f>INDEX(最终表!$A:$Y,语言表!$F158+4,INDEX($F$1:$L$1,1,$G158+1))</f>
        <v>卡玛</v>
      </c>
      <c r="F158">
        <f t="shared" si="4"/>
        <v>154</v>
      </c>
      <c r="G158">
        <f t="shared" si="5"/>
        <v>0</v>
      </c>
    </row>
    <row r="159" spans="1:7" x14ac:dyDescent="0.15">
      <c r="A159" t="str">
        <f>INDEX(最终表!$A:$Y,语言表!$F159+4,INDEX($F$2:$L$2,1,$G159+1))</f>
        <v>t_director_title_2000003</v>
      </c>
      <c r="B159" t="str">
        <f>INDEX(最终表!$A:$Y,语言表!$F159+4,INDEX($F$1:$L$1,1,$G159+1))</f>
        <v>汉森</v>
      </c>
      <c r="F159">
        <f t="shared" si="4"/>
        <v>155</v>
      </c>
      <c r="G159">
        <f t="shared" si="5"/>
        <v>0</v>
      </c>
    </row>
    <row r="160" spans="1:7" x14ac:dyDescent="0.15">
      <c r="A160" t="str">
        <f>INDEX(最终表!$A:$Y,语言表!$F160+4,INDEX($F$2:$L$2,1,$G160+1))</f>
        <v>t_director_title_2000004</v>
      </c>
      <c r="B160" t="str">
        <f>INDEX(最终表!$A:$Y,语言表!$F160+4,INDEX($F$1:$L$1,1,$G160+1))</f>
        <v>帕莎</v>
      </c>
      <c r="F160">
        <f t="shared" si="4"/>
        <v>156</v>
      </c>
      <c r="G160">
        <f t="shared" si="5"/>
        <v>0</v>
      </c>
    </row>
    <row r="161" spans="1:7" x14ac:dyDescent="0.15">
      <c r="A161" t="str">
        <f>INDEX(最终表!$A:$Y,语言表!$F161+4,INDEX($F$2:$L$2,1,$G161+1))</f>
        <v>t_director_title_2000005</v>
      </c>
      <c r="B161" t="str">
        <f>INDEX(最终表!$A:$Y,语言表!$F161+4,INDEX($F$1:$L$1,1,$G161+1))</f>
        <v>沃克</v>
      </c>
      <c r="F161">
        <f t="shared" si="4"/>
        <v>157</v>
      </c>
      <c r="G161">
        <f t="shared" si="5"/>
        <v>0</v>
      </c>
    </row>
    <row r="162" spans="1:7" x14ac:dyDescent="0.15">
      <c r="A162" t="str">
        <f>INDEX(最终表!$A:$Y,语言表!$F162+4,INDEX($F$2:$L$2,1,$G162+1))</f>
        <v>t_director_title_2000006</v>
      </c>
      <c r="B162" t="str">
        <f>INDEX(最终表!$A:$Y,语言表!$F162+4,INDEX($F$1:$L$1,1,$G162+1))</f>
        <v>皮特曼</v>
      </c>
      <c r="F162">
        <f t="shared" si="4"/>
        <v>158</v>
      </c>
      <c r="G162">
        <f t="shared" si="5"/>
        <v>0</v>
      </c>
    </row>
    <row r="163" spans="1:7" x14ac:dyDescent="0.15">
      <c r="A163" t="str">
        <f>INDEX(最终表!$A:$Y,语言表!$F163+4,INDEX($F$2:$L$2,1,$G163+1))</f>
        <v>t_director_dialog_1100100</v>
      </c>
      <c r="B163" t="str">
        <f>INDEX(最终表!$A:$Y,语言表!$F163+4,INDEX($F$1:$L$1,1,$G163+1))</f>
        <v>你来啦！</v>
      </c>
      <c r="F163">
        <f t="shared" si="4"/>
        <v>0</v>
      </c>
      <c r="G163">
        <f t="shared" si="5"/>
        <v>1</v>
      </c>
    </row>
    <row r="164" spans="1:7" x14ac:dyDescent="0.15">
      <c r="A164" t="str">
        <f>INDEX(最终表!$A:$Y,语言表!$F164+4,INDEX($F$2:$L$2,1,$G164+1))</f>
        <v>t_director_dialog_1100101</v>
      </c>
      <c r="B164" t="str">
        <f>INDEX(最终表!$A:$Y,语言表!$F164+4,INDEX($F$1:$L$1,1,$G164+1))</f>
        <v>今天可是你加入报名加入刷子公会的日子，你还能迟到，不过不用担心，我给你报过名了。</v>
      </c>
      <c r="F164">
        <f t="shared" si="4"/>
        <v>1</v>
      </c>
      <c r="G164">
        <f t="shared" si="5"/>
        <v>1</v>
      </c>
    </row>
    <row r="165" spans="1:7" x14ac:dyDescent="0.15">
      <c r="A165" t="str">
        <f>INDEX(最终表!$A:$Y,语言表!$F165+4,INDEX($F$2:$L$2,1,$G165+1))</f>
        <v>t_director_dialog_1100102</v>
      </c>
      <c r="B165" t="str">
        <f>INDEX(最终表!$A:$Y,语言表!$F165+4,INDEX($F$1:$L$1,1,$G165+1))</f>
        <v>别胡说啦，你可是未来的英雄。快和刷子公会的伊迪丝小姐对话，别让她等太久了。</v>
      </c>
      <c r="F165">
        <f t="shared" si="4"/>
        <v>2</v>
      </c>
      <c r="G165">
        <f t="shared" si="5"/>
        <v>1</v>
      </c>
    </row>
    <row r="166" spans="1:7" x14ac:dyDescent="0.15">
      <c r="A166" t="str">
        <f>INDEX(最终表!$A:$Y,语言表!$F166+4,INDEX($F$2:$L$2,1,$G166+1))</f>
        <v>t_director_dialog_1100200</v>
      </c>
      <c r="B166" t="str">
        <f>INDEX(最终表!$A:$Y,语言表!$F166+4,INDEX($F$1:$L$1,1,$G166+1))</f>
        <v>是要加入刷子公会啊！刷子公会是冒险者的公会，所谓冒险者就是帮助人们完成他们发布的任务的人，最近魔物突然增多，公会人手不足，所以招募了你们这些新人。</v>
      </c>
      <c r="F166">
        <f t="shared" si="4"/>
        <v>3</v>
      </c>
      <c r="G166">
        <f t="shared" si="5"/>
        <v>1</v>
      </c>
    </row>
    <row r="167" spans="1:7" x14ac:dyDescent="0.15">
      <c r="A167" t="str">
        <f>INDEX(最终表!$A:$Y,语言表!$F167+4,INDEX($F$2:$L$2,1,$G167+1))</f>
        <v>t_director_dialog_1100201</v>
      </c>
      <c r="B167" t="str">
        <f>INDEX(最终表!$A:$Y,语言表!$F167+4,INDEX($F$1:$L$1,1,$G167+1))</f>
        <v>因为冒险者经常身处险境，所以要加入公会必须先通过考核。最近怪物做乱，神殿不准人们出门狩猎，食物有些短缺。</v>
      </c>
      <c r="F167">
        <f t="shared" si="4"/>
        <v>4</v>
      </c>
      <c r="G167">
        <f t="shared" si="5"/>
        <v>1</v>
      </c>
    </row>
    <row r="168" spans="1:7" x14ac:dyDescent="0.15">
      <c r="A168" t="str">
        <f>INDEX(最终表!$A:$Y,语言表!$F168+4,INDEX($F$2:$L$2,1,$G168+1))</f>
        <v>t_director_dialog_1100202</v>
      </c>
      <c r="B168" t="str">
        <f>INDEX(最终表!$A:$Y,语言表!$F168+4,INDEX($F$1:$L$1,1,$G168+1))</f>
        <v>作为考核的第一项，你去矿洞周围狩猎一些鹿来弥补下城市的食物吧。</v>
      </c>
      <c r="F168">
        <f t="shared" si="4"/>
        <v>5</v>
      </c>
      <c r="G168">
        <f t="shared" si="5"/>
        <v>1</v>
      </c>
    </row>
    <row r="169" spans="1:7" x14ac:dyDescent="0.15">
      <c r="A169" t="str">
        <f>INDEX(最终表!$A:$Y,语言表!$F169+4,INDEX($F$2:$L$2,1,$G169+1))</f>
        <v>t_director_dialog_1100203</v>
      </c>
      <c r="B169" t="str">
        <f>INDEX(最终表!$A:$Y,语言表!$F169+4,INDEX($F$1:$L$1,1,$G169+1))</f>
        <v>这里有考核用的武器，你可以用它击杀鹿。</v>
      </c>
      <c r="F169">
        <f t="shared" si="4"/>
        <v>6</v>
      </c>
      <c r="G169">
        <f t="shared" si="5"/>
        <v>1</v>
      </c>
    </row>
    <row r="170" spans="1:7" x14ac:dyDescent="0.15">
      <c r="A170" t="str">
        <f>INDEX(最终表!$A:$Y,语言表!$F170+4,INDEX($F$2:$L$2,1,$G170+1))</f>
        <v>t_director_dialog_1100300</v>
      </c>
      <c r="B170" t="str">
        <f>INDEX(最终表!$A:$Y,语言表!$F170+4,INDEX($F$1:$L$1,1,$G170+1))</f>
        <v>这么快你就完成了任务，新进冒险者中，你是速度最快的。</v>
      </c>
      <c r="F170">
        <f t="shared" si="4"/>
        <v>7</v>
      </c>
      <c r="G170">
        <f t="shared" si="5"/>
        <v>1</v>
      </c>
    </row>
    <row r="171" spans="1:7" x14ac:dyDescent="0.15">
      <c r="A171" t="str">
        <f>INDEX(最终表!$A:$Y,语言表!$F171+4,INDEX($F$2:$L$2,1,$G171+1))</f>
        <v>t_director_dialog_1100301</v>
      </c>
      <c r="B171" t="str">
        <f>INDEX(最终表!$A:$Y,语言表!$F171+4,INDEX($F$1:$L$1,1,$G171+1))</f>
        <v>接下来你去海边寻找帕莎，她出城很久还没回来，可能需要你的帮助。</v>
      </c>
      <c r="F171">
        <f t="shared" si="4"/>
        <v>8</v>
      </c>
      <c r="G171">
        <f t="shared" si="5"/>
        <v>1</v>
      </c>
    </row>
    <row r="172" spans="1:7" x14ac:dyDescent="0.15">
      <c r="A172" t="str">
        <f>INDEX(最终表!$A:$Y,语言表!$F172+4,INDEX($F$2:$L$2,1,$G172+1))</f>
        <v>t_director_dialog_1100400</v>
      </c>
      <c r="B172" t="str">
        <f>INDEX(最终表!$A:$Y,语言表!$F172+4,INDEX($F$1:$L$1,1,$G172+1))</f>
        <v>你好，你找我有什么事吗？</v>
      </c>
      <c r="F172">
        <f t="shared" si="4"/>
        <v>9</v>
      </c>
      <c r="G172">
        <f t="shared" si="5"/>
        <v>1</v>
      </c>
    </row>
    <row r="173" spans="1:7" x14ac:dyDescent="0.15">
      <c r="A173" t="str">
        <f>INDEX(最终表!$A:$Y,语言表!$F173+4,INDEX($F$2:$L$2,1,$G173+1))</f>
        <v>t_director_dialog_1100401</v>
      </c>
      <c r="B173" t="str">
        <f>INDEX(最终表!$A:$Y,语言表!$F173+4,INDEX($F$1:$L$1,1,$G173+1))</f>
        <v>伊迪丝？这么说你是冒险者。太好了，我出城寻找食材，看到海边很多螃蟹你能帮我猎杀他们获得蟹肉吗？</v>
      </c>
      <c r="F173">
        <f t="shared" si="4"/>
        <v>10</v>
      </c>
      <c r="G173">
        <f t="shared" si="5"/>
        <v>1</v>
      </c>
    </row>
    <row r="174" spans="1:7" x14ac:dyDescent="0.15">
      <c r="A174" t="str">
        <f>INDEX(最终表!$A:$Y,语言表!$F174+4,INDEX($F$2:$L$2,1,$G174+1))</f>
        <v>t_director_dialog_1100450</v>
      </c>
      <c r="B174" t="str">
        <f>INDEX(最终表!$A:$Y,语言表!$F174+4,INDEX($F$1:$L$1,1,$G174+1))</f>
        <v>太好了，这样蟹肉就收集好了，谢谢你冒险者。</v>
      </c>
      <c r="F174">
        <f t="shared" si="4"/>
        <v>11</v>
      </c>
      <c r="G174">
        <f t="shared" si="5"/>
        <v>1</v>
      </c>
    </row>
    <row r="175" spans="1:7" x14ac:dyDescent="0.15">
      <c r="A175" t="str">
        <f>INDEX(最终表!$A:$Y,语言表!$F175+4,INDEX($F$2:$L$2,1,$G175+1))</f>
        <v>t_director_dialog_1100451</v>
      </c>
      <c r="B175" t="str">
        <f>INDEX(最终表!$A:$Y,语言表!$F175+4,INDEX($F$1:$L$1,1,$G175+1))</f>
        <v>城外有很多被塞壬的歌神迷惑的渔夫，阁下能帮我讨伐他们，这样我就能回城了。</v>
      </c>
      <c r="F175">
        <f t="shared" si="4"/>
        <v>12</v>
      </c>
      <c r="G175">
        <f t="shared" si="5"/>
        <v>1</v>
      </c>
    </row>
    <row r="176" spans="1:7" x14ac:dyDescent="0.15">
      <c r="A176" t="str">
        <f>INDEX(最终表!$A:$Y,语言表!$F176+4,INDEX($F$2:$L$2,1,$G176+1))</f>
        <v>t_director_dialog_1100480</v>
      </c>
      <c r="B176" t="str">
        <f>INDEX(最终表!$A:$Y,语言表!$F176+4,INDEX($F$1:$L$1,1,$G176+1))</f>
        <v>阁下，城外的渔夫怎么样了？</v>
      </c>
      <c r="F176">
        <f t="shared" si="4"/>
        <v>13</v>
      </c>
      <c r="G176">
        <f t="shared" si="5"/>
        <v>1</v>
      </c>
    </row>
    <row r="177" spans="1:7" x14ac:dyDescent="0.15">
      <c r="A177" t="str">
        <f>INDEX(最终表!$A:$Y,语言表!$F177+4,INDEX($F$2:$L$2,1,$G177+1))</f>
        <v>t_director_dialog_1100481</v>
      </c>
      <c r="B177" t="str">
        <f>INDEX(最终表!$A:$Y,语言表!$F177+4,INDEX($F$1:$L$1,1,$G177+1))</f>
        <v>太好了，我要回城了，谢谢你阁下，也请阁下替我谢谢伊迪丝。</v>
      </c>
      <c r="F177">
        <f t="shared" si="4"/>
        <v>14</v>
      </c>
      <c r="G177">
        <f t="shared" si="5"/>
        <v>1</v>
      </c>
    </row>
    <row r="178" spans="1:7" x14ac:dyDescent="0.15">
      <c r="A178" t="str">
        <f>INDEX(最终表!$A:$Y,语言表!$F178+4,INDEX($F$2:$L$2,1,$G178+1))</f>
        <v>t_director_dialog_1100500</v>
      </c>
      <c r="B178" t="str">
        <f>INDEX(最终表!$A:$Y,语言表!$F178+4,INDEX($F$1:$L$1,1,$G178+1))</f>
        <v>你帮助帕莎了吗?</v>
      </c>
      <c r="F178">
        <f t="shared" si="4"/>
        <v>15</v>
      </c>
      <c r="G178">
        <f t="shared" si="5"/>
        <v>1</v>
      </c>
    </row>
    <row r="179" spans="1:7" x14ac:dyDescent="0.15">
      <c r="A179" t="str">
        <f>INDEX(最终表!$A:$Y,语言表!$F179+4,INDEX($F$2:$L$2,1,$G179+1))</f>
        <v>t_director_dialog_1100501</v>
      </c>
      <c r="B179" t="str">
        <f>INDEX(最终表!$A:$Y,语言表!$F179+4,INDEX($F$1:$L$1,1,$G179+1))</f>
        <v>很好，那你接下来去找城外的汉森，他刚才发来求援信号，看来他有麻烦了。</v>
      </c>
      <c r="F179">
        <f t="shared" si="4"/>
        <v>16</v>
      </c>
      <c r="G179">
        <f t="shared" si="5"/>
        <v>1</v>
      </c>
    </row>
    <row r="180" spans="1:7" x14ac:dyDescent="0.15">
      <c r="A180" t="str">
        <f>INDEX(最终表!$A:$Y,语言表!$F180+4,INDEX($F$2:$L$2,1,$G180+1))</f>
        <v>t_director_dialog_1100550</v>
      </c>
      <c r="B180" t="str">
        <f>INDEX(最终表!$A:$Y,语言表!$F180+4,INDEX($F$1:$L$1,1,$G180+1))</f>
        <v>这个时候出现在城外，你是刷子公会的冒险者?</v>
      </c>
      <c r="F180">
        <f t="shared" si="4"/>
        <v>17</v>
      </c>
      <c r="G180">
        <f t="shared" si="5"/>
        <v>1</v>
      </c>
    </row>
    <row r="181" spans="1:7" x14ac:dyDescent="0.15">
      <c r="A181" t="str">
        <f>INDEX(最终表!$A:$Y,语言表!$F181+4,INDEX($F$2:$L$2,1,$G181+1))</f>
        <v>t_director_dialog_1100551</v>
      </c>
      <c r="B181" t="str">
        <f>INDEX(最终表!$A:$Y,语言表!$F181+4,INDEX($F$1:$L$1,1,$G181+1))</f>
        <v>那正好，我是神殿的汉森·卡特，负责围杀该死的异端，我正好需要你的力量。</v>
      </c>
      <c r="F181">
        <f t="shared" si="4"/>
        <v>18</v>
      </c>
      <c r="G181">
        <f t="shared" si="5"/>
        <v>1</v>
      </c>
    </row>
    <row r="182" spans="1:7" x14ac:dyDescent="0.15">
      <c r="A182" t="str">
        <f>INDEX(最终表!$A:$Y,语言表!$F182+4,INDEX($F$2:$L$2,1,$G182+1))</f>
        <v>t_director_dialog_1100552</v>
      </c>
      <c r="B182" t="str">
        <f>INDEX(最终表!$A:$Y,语言表!$F182+4,INDEX($F$1:$L$1,1,$G182+1))</f>
        <v>巫婆经常在海边不远处的路边为祸，你的任务是讨伐巫婆。</v>
      </c>
      <c r="F182">
        <f t="shared" si="4"/>
        <v>19</v>
      </c>
      <c r="G182">
        <f t="shared" si="5"/>
        <v>1</v>
      </c>
    </row>
    <row r="183" spans="1:7" x14ac:dyDescent="0.15">
      <c r="A183" t="str">
        <f>INDEX(最终表!$A:$Y,语言表!$F183+4,INDEX($F$2:$L$2,1,$G183+1))</f>
        <v>t_director_dialog_1100553</v>
      </c>
      <c r="B183" t="str">
        <f>INDEX(最终表!$A:$Y,语言表!$F183+4,INDEX($F$1:$L$1,1,$G183+1))</f>
        <v>哦，对了，坐标43.25周围经常会有物资，你讨伐完巫婆收集一些回来。</v>
      </c>
      <c r="F183">
        <f t="shared" si="4"/>
        <v>20</v>
      </c>
      <c r="G183">
        <f t="shared" si="5"/>
        <v>1</v>
      </c>
    </row>
    <row r="184" spans="1:7" x14ac:dyDescent="0.15">
      <c r="A184" t="str">
        <f>INDEX(最终表!$A:$Y,语言表!$F184+4,INDEX($F$2:$L$2,1,$G184+1))</f>
        <v>t_director_dialog_1100580</v>
      </c>
      <c r="B184" t="str">
        <f>INDEX(最终表!$A:$Y,语言表!$F184+4,INDEX($F$1:$L$1,1,$G184+1))</f>
        <v>冒险者，神殿的任务，你做的怎么样了？</v>
      </c>
      <c r="F184">
        <f t="shared" si="4"/>
        <v>21</v>
      </c>
      <c r="G184">
        <f t="shared" si="5"/>
        <v>1</v>
      </c>
    </row>
    <row r="185" spans="1:7" x14ac:dyDescent="0.15">
      <c r="A185" t="str">
        <f>INDEX(最终表!$A:$Y,语言表!$F185+4,INDEX($F$2:$L$2,1,$G185+1))</f>
        <v>t_director_dialog_1100581</v>
      </c>
      <c r="B185" t="str">
        <f>INDEX(最终表!$A:$Y,语言表!$F185+4,INDEX($F$1:$L$1,1,$G185+1))</f>
        <v>还好，算你完成任务了，你回去报告给你的上司吧。</v>
      </c>
      <c r="F185">
        <f t="shared" si="4"/>
        <v>22</v>
      </c>
      <c r="G185">
        <f t="shared" si="5"/>
        <v>1</v>
      </c>
    </row>
    <row r="186" spans="1:7" x14ac:dyDescent="0.15">
      <c r="A186" t="str">
        <f>INDEX(最终表!$A:$Y,语言表!$F186+4,INDEX($F$2:$L$2,1,$G186+1))</f>
        <v>t_director_dialog_1100600</v>
      </c>
      <c r="B186" t="str">
        <f>INDEX(最终表!$A:$Y,语言表!$F186+4,INDEX($F$1:$L$1,1,$G186+1))</f>
        <v>汉森那里发生了什么？</v>
      </c>
      <c r="F186">
        <f t="shared" si="4"/>
        <v>23</v>
      </c>
      <c r="G186">
        <f t="shared" si="5"/>
        <v>1</v>
      </c>
    </row>
    <row r="187" spans="1:7" x14ac:dyDescent="0.15">
      <c r="A187" t="str">
        <f>INDEX(最终表!$A:$Y,语言表!$F187+4,INDEX($F$2:$L$2,1,$G187+1))</f>
        <v>t_director_dialog_1100601</v>
      </c>
      <c r="B187" t="str">
        <f>INDEX(最终表!$A:$Y,语言表!$F187+4,INDEX($F$1:$L$1,1,$G187+1))</f>
        <v>区区巫婆，神殿的人竟然发求援信号，真是不嫌事大？</v>
      </c>
      <c r="F187">
        <f t="shared" si="4"/>
        <v>24</v>
      </c>
      <c r="G187">
        <f t="shared" si="5"/>
        <v>1</v>
      </c>
    </row>
    <row r="188" spans="1:7" x14ac:dyDescent="0.15">
      <c r="A188" t="str">
        <f>INDEX(最终表!$A:$Y,语言表!$F188+4,INDEX($F$2:$L$2,1,$G188+1))</f>
        <v>t_director_dialog_1100602</v>
      </c>
      <c r="B188" t="str">
        <f>INDEX(最终表!$A:$Y,语言表!$F188+4,INDEX($F$1:$L$1,1,$G188+1))</f>
        <v>不过，巫婆被神殿驱逐后，就经常作乱，今天，你是为民除害了。</v>
      </c>
      <c r="F188">
        <f t="shared" si="4"/>
        <v>25</v>
      </c>
      <c r="G188">
        <f t="shared" si="5"/>
        <v>1</v>
      </c>
    </row>
    <row r="189" spans="1:7" x14ac:dyDescent="0.15">
      <c r="A189" t="str">
        <f>INDEX(最终表!$A:$Y,语言表!$F189+4,INDEX($F$2:$L$2,1,$G189+1))</f>
        <v>t_director_dialog_1100603</v>
      </c>
      <c r="B189" t="str">
        <f>INDEX(最终表!$A:$Y,语言表!$F189+4,INDEX($F$1:$L$1,1,$G189+1))</f>
        <v>不说这些。接下来你还有任务。不过作为冒险者，你最好打造一套属于你的装备。</v>
      </c>
      <c r="F189">
        <f t="shared" si="4"/>
        <v>26</v>
      </c>
      <c r="G189">
        <f t="shared" si="5"/>
        <v>1</v>
      </c>
    </row>
    <row r="190" spans="1:7" x14ac:dyDescent="0.15">
      <c r="A190" t="str">
        <f>INDEX(最终表!$A:$Y,语言表!$F190+4,INDEX($F$2:$L$2,1,$G190+1))</f>
        <v>t_director_dialog_1100604</v>
      </c>
      <c r="B190" t="str">
        <f>INDEX(最终表!$A:$Y,语言表!$F190+4,INDEX($F$1:$L$1,1,$G190+1))</f>
        <v>在坐标60.43处，38.12处，53.33处有野熊，他们的皮很适合做防具的材料。你去狩猎野熊获得他们的皮，去锻造所就可以打造了。</v>
      </c>
      <c r="F190">
        <f t="shared" si="4"/>
        <v>27</v>
      </c>
      <c r="G190">
        <f t="shared" si="5"/>
        <v>1</v>
      </c>
    </row>
    <row r="191" spans="1:7" x14ac:dyDescent="0.15">
      <c r="A191" t="str">
        <f>INDEX(最终表!$A:$Y,语言表!$F191+4,INDEX($F$2:$L$2,1,$G191+1))</f>
        <v>t_director_dialog_1100700</v>
      </c>
      <c r="B191" t="str">
        <f>INDEX(最终表!$A:$Y,语言表!$F191+4,INDEX($F$1:$L$1,1,$G191+1))</f>
        <v>装备了新的装备，你看起来精神多了。</v>
      </c>
      <c r="F191">
        <f t="shared" si="4"/>
        <v>28</v>
      </c>
      <c r="G191">
        <f t="shared" si="5"/>
        <v>1</v>
      </c>
    </row>
    <row r="192" spans="1:7" x14ac:dyDescent="0.15">
      <c r="A192" t="str">
        <f>INDEX(最终表!$A:$Y,语言表!$F192+4,INDEX($F$2:$L$2,1,$G192+1))</f>
        <v>t_director_dialog_1100701</v>
      </c>
      <c r="B192" t="str">
        <f>INDEX(最终表!$A:$Y,语言表!$F192+4,INDEX($F$1:$L$1,1,$G192+1))</f>
        <v>在西边卡拉尔山脉和大海的中间，坐标21.51周围，那里最近被盗贼占领了。</v>
      </c>
      <c r="F192">
        <f t="shared" si="4"/>
        <v>29</v>
      </c>
      <c r="G192">
        <f t="shared" si="5"/>
        <v>1</v>
      </c>
    </row>
    <row r="193" spans="1:7" x14ac:dyDescent="0.15">
      <c r="A193" t="str">
        <f>INDEX(最终表!$A:$Y,语言表!$F193+4,INDEX($F$2:$L$2,1,$G193+1))</f>
        <v>t_director_dialog_1100702</v>
      </c>
      <c r="B193" t="str">
        <f>INDEX(最终表!$A:$Y,语言表!$F193+4,INDEX($F$1:$L$1,1,$G193+1))</f>
        <v>接下来你的任务就是讨伐掉那里的盗贼。</v>
      </c>
      <c r="F193">
        <f t="shared" si="4"/>
        <v>30</v>
      </c>
      <c r="G193">
        <f t="shared" si="5"/>
        <v>1</v>
      </c>
    </row>
    <row r="194" spans="1:7" x14ac:dyDescent="0.15">
      <c r="A194" t="str">
        <f>INDEX(最终表!$A:$Y,语言表!$F194+4,INDEX($F$2:$L$2,1,$G194+1))</f>
        <v>t_director_dialog_1100800</v>
      </c>
      <c r="B194" t="str">
        <f>INDEX(最终表!$A:$Y,语言表!$F194+4,INDEX($F$1:$L$1,1,$G194+1))</f>
        <v>你讨伐了盗贼吗？</v>
      </c>
      <c r="F194">
        <f t="shared" si="4"/>
        <v>31</v>
      </c>
      <c r="G194">
        <f t="shared" si="5"/>
        <v>1</v>
      </c>
    </row>
    <row r="195" spans="1:7" x14ac:dyDescent="0.15">
      <c r="A195" t="str">
        <f>INDEX(最终表!$A:$Y,语言表!$F195+4,INDEX($F$2:$L$2,1,$G195+1))</f>
        <v>t_director_dialog_1100801</v>
      </c>
      <c r="B195" t="str">
        <f>INDEX(最终表!$A:$Y,语言表!$F195+4,INDEX($F$1:$L$1,1,$G195+1))</f>
        <v>加油，冒险者。</v>
      </c>
      <c r="F195">
        <f t="shared" si="4"/>
        <v>32</v>
      </c>
      <c r="G195">
        <f t="shared" si="5"/>
        <v>1</v>
      </c>
    </row>
    <row r="196" spans="1:7" x14ac:dyDescent="0.15">
      <c r="A196" t="str">
        <f>INDEX(最终表!$A:$Y,语言表!$F196+4,INDEX($F$2:$L$2,1,$G196+1))</f>
        <v>t_director_dialog_1100802</v>
      </c>
      <c r="B196" t="str">
        <f>INDEX(最终表!$A:$Y,语言表!$F196+4,INDEX($F$1:$L$1,1,$G196+1))</f>
        <v>你圆满的完成了试炼任务。</v>
      </c>
      <c r="F196">
        <f t="shared" si="4"/>
        <v>33</v>
      </c>
      <c r="G196">
        <f t="shared" si="5"/>
        <v>1</v>
      </c>
    </row>
    <row r="197" spans="1:7" x14ac:dyDescent="0.15">
      <c r="A197" t="str">
        <f>INDEX(最终表!$A:$Y,语言表!$F197+4,INDEX($F$2:$L$2,1,$G197+1))</f>
        <v>t_director_dialog_1100803</v>
      </c>
      <c r="B197" t="str">
        <f>INDEX(最终表!$A:$Y,语言表!$F197+4,INDEX($F$1:$L$1,1,$G197+1))</f>
        <v>不过，你还有笔试考核要回答。</v>
      </c>
      <c r="F197">
        <f t="shared" ref="F197:F260" si="6">MOD(ROW()-4,$N$1-3)</f>
        <v>34</v>
      </c>
      <c r="G197">
        <f t="shared" ref="G197:G260" si="7">INT((ROW()-4)/($N$1-3))</f>
        <v>1</v>
      </c>
    </row>
    <row r="198" spans="1:7" x14ac:dyDescent="0.15">
      <c r="A198" t="str">
        <f>INDEX(最终表!$A:$Y,语言表!$F198+4,INDEX($F$2:$L$2,1,$G198+1))</f>
        <v>t_director_dialog_1100804</v>
      </c>
      <c r="B198" t="str">
        <f>INDEX(最终表!$A:$Y,语言表!$F198+4,INDEX($F$1:$L$1,1,$G198+1))</f>
        <v>卡玛是负责城镇物资的，她以前是负责笔试考核的，她正在城外，你可以找她完成考核。</v>
      </c>
      <c r="F198">
        <f t="shared" si="6"/>
        <v>35</v>
      </c>
      <c r="G198">
        <f t="shared" si="7"/>
        <v>1</v>
      </c>
    </row>
    <row r="199" spans="1:7" x14ac:dyDescent="0.15">
      <c r="A199" t="str">
        <f>INDEX(最终表!$A:$Y,语言表!$F199+4,INDEX($F$2:$L$2,1,$G199+1))</f>
        <v>t_director_dialog_1100805</v>
      </c>
      <c r="B199" t="str">
        <f>INDEX(最终表!$A:$Y,语言表!$F199+4,INDEX($F$1:$L$1,1,$G199+1))</f>
        <v>不用惊讶，卡玛是最好的考官，只是城镇人手不足，她才去负责物资的。</v>
      </c>
      <c r="F199">
        <f t="shared" si="6"/>
        <v>36</v>
      </c>
      <c r="G199">
        <f t="shared" si="7"/>
        <v>1</v>
      </c>
    </row>
    <row r="200" spans="1:7" x14ac:dyDescent="0.15">
      <c r="A200" t="str">
        <f>INDEX(最终表!$A:$Y,语言表!$F200+4,INDEX($F$2:$L$2,1,$G200+1))</f>
        <v>t_director_dialog_1100900</v>
      </c>
      <c r="B200" t="str">
        <f>INDEX(最终表!$A:$Y,语言表!$F200+4,INDEX($F$1:$L$1,1,$G200+1))</f>
        <v>你好，我是负责城镇物资的，你有什么事吗？</v>
      </c>
      <c r="F200">
        <f t="shared" si="6"/>
        <v>37</v>
      </c>
      <c r="G200">
        <f t="shared" si="7"/>
        <v>1</v>
      </c>
    </row>
    <row r="201" spans="1:7" x14ac:dyDescent="0.15">
      <c r="A201" t="str">
        <f>INDEX(最终表!$A:$Y,语言表!$F201+4,INDEX($F$2:$L$2,1,$G201+1))</f>
        <v>t_director_dialog_1100901</v>
      </c>
      <c r="B201" t="str">
        <f>INDEX(最终表!$A:$Y,语言表!$F201+4,INDEX($F$1:$L$1,1,$G201+1))</f>
        <v>已经很久没人来我这里进行考核了，一般的冒险者是不用参加笔试的，看来你很特殊。</v>
      </c>
      <c r="F201">
        <f t="shared" si="6"/>
        <v>38</v>
      </c>
      <c r="G201">
        <f t="shared" si="7"/>
        <v>1</v>
      </c>
    </row>
    <row r="202" spans="1:7" x14ac:dyDescent="0.15">
      <c r="A202" t="str">
        <f>INDEX(最终表!$A:$Y,语言表!$F202+4,INDEX($F$2:$L$2,1,$G202+1))</f>
        <v>t_director_dialog_1100902</v>
      </c>
      <c r="B202" t="str">
        <f>INDEX(最终表!$A:$Y,语言表!$F202+4,INDEX($F$1:$L$1,1,$G202+1))</f>
        <v>你不知道？看来你是伊迪丝安排的了。</v>
      </c>
      <c r="F202">
        <f t="shared" si="6"/>
        <v>39</v>
      </c>
      <c r="G202">
        <f t="shared" si="7"/>
        <v>1</v>
      </c>
    </row>
    <row r="203" spans="1:7" x14ac:dyDescent="0.15">
      <c r="A203" t="str">
        <f>INDEX(最终表!$A:$Y,语言表!$F203+4,INDEX($F$2:$L$2,1,$G203+1))</f>
        <v>t_director_dialog_1100903</v>
      </c>
      <c r="B203" t="str">
        <f>INDEX(最终表!$A:$Y,语言表!$F203+4,INDEX($F$1:$L$1,1,$G203+1))</f>
        <v>那么，咱们开始吧，你准备好了吗？</v>
      </c>
      <c r="F203">
        <f t="shared" si="6"/>
        <v>40</v>
      </c>
      <c r="G203">
        <f t="shared" si="7"/>
        <v>1</v>
      </c>
    </row>
    <row r="204" spans="1:7" x14ac:dyDescent="0.15">
      <c r="A204" t="str">
        <f>INDEX(最终表!$A:$Y,语言表!$F204+4,INDEX($F$2:$L$2,1,$G204+1))</f>
        <v>t_director_dialog_1100904</v>
      </c>
      <c r="B204" t="str">
        <f>INDEX(最终表!$A:$Y,语言表!$F204+4,INDEX($F$1:$L$1,1,$G204+1))</f>
        <v>第一题：装备的打造是靠玩家打怪掉落的材料吗？</v>
      </c>
      <c r="F204">
        <f t="shared" si="6"/>
        <v>41</v>
      </c>
      <c r="G204">
        <f t="shared" si="7"/>
        <v>1</v>
      </c>
    </row>
    <row r="205" spans="1:7" x14ac:dyDescent="0.15">
      <c r="A205" t="str">
        <f>INDEX(最终表!$A:$Y,语言表!$F205+4,INDEX($F$2:$L$2,1,$G205+1))</f>
        <v>t_director_dialog_1100905</v>
      </c>
      <c r="B205" t="str">
        <f>INDEX(最终表!$A:$Y,语言表!$F205+4,INDEX($F$1:$L$1,1,$G205+1))</f>
        <v>很遗憾，你答错了。别灰心，继续加油。</v>
      </c>
      <c r="F205">
        <f t="shared" si="6"/>
        <v>42</v>
      </c>
      <c r="G205">
        <f t="shared" si="7"/>
        <v>1</v>
      </c>
    </row>
    <row r="206" spans="1:7" x14ac:dyDescent="0.15">
      <c r="A206" t="str">
        <f>INDEX(最终表!$A:$Y,语言表!$F206+4,INDEX($F$2:$L$2,1,$G206+1))</f>
        <v>t_director_dialog_1100906</v>
      </c>
      <c r="B206" t="str">
        <f>INDEX(最终表!$A:$Y,语言表!$F206+4,INDEX($F$1:$L$1,1,$G206+1))</f>
        <v>第二题：精英怪物每多久刷新一次？</v>
      </c>
      <c r="F206">
        <f t="shared" si="6"/>
        <v>43</v>
      </c>
      <c r="G206">
        <f t="shared" si="7"/>
        <v>1</v>
      </c>
    </row>
    <row r="207" spans="1:7" x14ac:dyDescent="0.15">
      <c r="A207" t="str">
        <f>INDEX(最终表!$A:$Y,语言表!$F207+4,INDEX($F$2:$L$2,1,$G207+1))</f>
        <v>t_director_dialog_1100907</v>
      </c>
      <c r="B207" t="str">
        <f>INDEX(最终表!$A:$Y,语言表!$F207+4,INDEX($F$1:$L$1,1,$G207+1))</f>
        <v>第三题：战斗的时候可以携带几个技能？</v>
      </c>
      <c r="F207">
        <f t="shared" si="6"/>
        <v>44</v>
      </c>
      <c r="G207">
        <f t="shared" si="7"/>
        <v>1</v>
      </c>
    </row>
    <row r="208" spans="1:7" x14ac:dyDescent="0.15">
      <c r="A208" t="str">
        <f>INDEX(最终表!$A:$Y,语言表!$F208+4,INDEX($F$2:$L$2,1,$G208+1))</f>
        <v>t_director_dialog_1100908</v>
      </c>
      <c r="B208" t="str">
        <f>INDEX(最终表!$A:$Y,语言表!$F208+4,INDEX($F$1:$L$1,1,$G208+1))</f>
        <v>你回答对了所有问题，恭喜你了。你正式加入了刷子公会。</v>
      </c>
      <c r="F208">
        <f t="shared" si="6"/>
        <v>45</v>
      </c>
      <c r="G208">
        <f t="shared" si="7"/>
        <v>1</v>
      </c>
    </row>
    <row r="209" spans="1:7" x14ac:dyDescent="0.15">
      <c r="A209" t="str">
        <f>INDEX(最终表!$A:$Y,语言表!$F209+4,INDEX($F$2:$L$2,1,$G209+1))</f>
        <v>t_director_dialog_1100909</v>
      </c>
      <c r="B209" t="str">
        <f>INDEX(最终表!$A:$Y,语言表!$F209+4,INDEX($F$1:$L$1,1,$G209+1))</f>
        <v>接下来你可以去找伊迪丝，他有任务要给你。</v>
      </c>
      <c r="F209">
        <f t="shared" si="6"/>
        <v>46</v>
      </c>
      <c r="G209">
        <f t="shared" si="7"/>
        <v>1</v>
      </c>
    </row>
    <row r="210" spans="1:7" x14ac:dyDescent="0.15">
      <c r="A210" t="str">
        <f>INDEX(最终表!$A:$Y,语言表!$F210+4,INDEX($F$2:$L$2,1,$G210+1))</f>
        <v>t_director_dialog_1100910</v>
      </c>
      <c r="B210" t="str">
        <f>INDEX(最终表!$A:$Y,语言表!$F210+4,INDEX($F$1:$L$1,1,$G210+1))</f>
        <v>只有经过地狱般的磨练,才能炼就出创造天堂的力量。</v>
      </c>
      <c r="F210">
        <f t="shared" si="6"/>
        <v>47</v>
      </c>
      <c r="G210">
        <f t="shared" si="7"/>
        <v>1</v>
      </c>
    </row>
    <row r="211" spans="1:7" x14ac:dyDescent="0.15">
      <c r="A211" t="str">
        <f>INDEX(最终表!$A:$Y,语言表!$F211+4,INDEX($F$2:$L$2,1,$G211+1))</f>
        <v>t_director_dialog_1100911</v>
      </c>
      <c r="B211" t="str">
        <f>INDEX(最终表!$A:$Y,语言表!$F211+4,INDEX($F$1:$L$1,1,$G211+1))</f>
        <v>我好像见过你，你是不是缇娜的朋友？</v>
      </c>
      <c r="F211">
        <f t="shared" si="6"/>
        <v>48</v>
      </c>
      <c r="G211">
        <f t="shared" si="7"/>
        <v>1</v>
      </c>
    </row>
    <row r="212" spans="1:7" x14ac:dyDescent="0.15">
      <c r="A212" t="str">
        <f>INDEX(最终表!$A:$Y,语言表!$F212+4,INDEX($F$2:$L$2,1,$G212+1))</f>
        <v>t_director_dialog_1100912</v>
      </c>
      <c r="B212" t="str">
        <f>INDEX(最终表!$A:$Y,语言表!$F212+4,INDEX($F$1:$L$1,1,$G212+1))</f>
        <v>出城前缇娜还提起你，说你要加入刷子公会呢！</v>
      </c>
      <c r="F212">
        <f t="shared" si="6"/>
        <v>49</v>
      </c>
      <c r="G212">
        <f t="shared" si="7"/>
        <v>1</v>
      </c>
    </row>
    <row r="213" spans="1:7" x14ac:dyDescent="0.15">
      <c r="A213" t="str">
        <f>INDEX(最终表!$A:$Y,语言表!$F213+4,INDEX($F$2:$L$2,1,$G213+1))</f>
        <v>t_director_dialog_1101000</v>
      </c>
      <c r="B213" t="str">
        <f>INDEX(最终表!$A:$Y,语言表!$F213+4,INDEX($F$1:$L$1,1,$G213+1))</f>
        <v>看来你成功的通过了考核，恭喜你冒险者。这样你就是刷子公会的一员了。</v>
      </c>
      <c r="F213">
        <f t="shared" si="6"/>
        <v>50</v>
      </c>
      <c r="G213">
        <f t="shared" si="7"/>
        <v>1</v>
      </c>
    </row>
    <row r="214" spans="1:7" x14ac:dyDescent="0.15">
      <c r="A214" t="str">
        <f>INDEX(最终表!$A:$Y,语言表!$F214+4,INDEX($F$2:$L$2,1,$G214+1))</f>
        <v>t_director_dialog_1101001</v>
      </c>
      <c r="B214" t="str">
        <f>INDEX(最终表!$A:$Y,语言表!$F214+4,INDEX($F$1:$L$1,1,$G214+1))</f>
        <v>矿产资源的幕僚长沃克传来消息，说卡拉尔山脉下的平原被哥布林占领。</v>
      </c>
      <c r="F214">
        <f t="shared" si="6"/>
        <v>51</v>
      </c>
      <c r="G214">
        <f t="shared" si="7"/>
        <v>1</v>
      </c>
    </row>
    <row r="215" spans="1:7" x14ac:dyDescent="0.15">
      <c r="A215" t="str">
        <f>INDEX(最终表!$A:$Y,语言表!$F215+4,INDEX($F$2:$L$2,1,$G215+1))</f>
        <v>t_director_dialog_1101002</v>
      </c>
      <c r="B215" t="str">
        <f>INDEX(最终表!$A:$Y,语言表!$F215+4,INDEX($F$1:$L$1,1,$G215+1))</f>
        <v>我希望你去调查一下，击杀哥布林战士获得一些他们的头骨。</v>
      </c>
      <c r="F215">
        <f t="shared" si="6"/>
        <v>52</v>
      </c>
      <c r="G215">
        <f t="shared" si="7"/>
        <v>1</v>
      </c>
    </row>
    <row r="216" spans="1:7" x14ac:dyDescent="0.15">
      <c r="A216" t="str">
        <f>INDEX(最终表!$A:$Y,语言表!$F216+4,INDEX($F$2:$L$2,1,$G216+1))</f>
        <v>t_director_dialog_1101100</v>
      </c>
      <c r="B216" t="str">
        <f>INDEX(最终表!$A:$Y,语言表!$F216+4,INDEX($F$1:$L$1,1,$G216+1))</f>
        <v>你获得哥布林的头骨了吗？</v>
      </c>
      <c r="F216">
        <f t="shared" si="6"/>
        <v>53</v>
      </c>
      <c r="G216">
        <f t="shared" si="7"/>
        <v>1</v>
      </c>
    </row>
    <row r="217" spans="1:7" x14ac:dyDescent="0.15">
      <c r="A217" t="str">
        <f>INDEX(最终表!$A:$Y,语言表!$F217+4,INDEX($F$2:$L$2,1,$G217+1))</f>
        <v>t_director_dialog_1101101</v>
      </c>
      <c r="B217" t="str">
        <f>INDEX(最终表!$A:$Y,语言表!$F217+4,INDEX($F$1:$L$1,1,$G217+1))</f>
        <v>击杀了这么多哥布林战士，足够吸引出哥布林狂战士了。冒险者，请你去讨伐哥布林狂战士，请小心，他很强。</v>
      </c>
      <c r="F217">
        <f t="shared" si="6"/>
        <v>54</v>
      </c>
      <c r="G217">
        <f t="shared" si="7"/>
        <v>1</v>
      </c>
    </row>
    <row r="218" spans="1:7" x14ac:dyDescent="0.15">
      <c r="A218" t="str">
        <f>INDEX(最终表!$A:$Y,语言表!$F218+4,INDEX($F$2:$L$2,1,$G218+1))</f>
        <v>t_director_dialog_1101110</v>
      </c>
      <c r="B218" t="str">
        <f>INDEX(最终表!$A:$Y,语言表!$F218+4,INDEX($F$1:$L$1,1,$G218+1))</f>
        <v>狂战士很强大，你讨伐他了吗？</v>
      </c>
      <c r="F218">
        <f t="shared" si="6"/>
        <v>55</v>
      </c>
      <c r="G218">
        <f t="shared" si="7"/>
        <v>1</v>
      </c>
    </row>
    <row r="219" spans="1:7" x14ac:dyDescent="0.15">
      <c r="A219" t="str">
        <f>INDEX(最终表!$A:$Y,语言表!$F219+4,INDEX($F$2:$L$2,1,$G219+1))</f>
        <v>t_director_dialog_1101111</v>
      </c>
      <c r="B219" t="str">
        <f>INDEX(最终表!$A:$Y,语言表!$F219+4,INDEX($F$1:$L$1,1,$G219+1))</f>
        <v>狂战士是哥布林先知的手下，有它的地方就有哥布林先知。</v>
      </c>
      <c r="F219">
        <f t="shared" si="6"/>
        <v>56</v>
      </c>
      <c r="G219">
        <f t="shared" si="7"/>
        <v>1</v>
      </c>
    </row>
    <row r="220" spans="1:7" x14ac:dyDescent="0.15">
      <c r="A220" t="str">
        <f>INDEX(最终表!$A:$Y,语言表!$F220+4,INDEX($F$2:$L$2,1,$G220+1))</f>
        <v>t_director_dialog_1101112</v>
      </c>
      <c r="B220" t="str">
        <f>INDEX(最终表!$A:$Y,语言表!$F220+4,INDEX($F$1:$L$1,1,$G220+1))</f>
        <v>狂战士死了，哥布林先知恐怕很难随意出现了。哥布林营地周围应该有银月城的斥候监视，你可以询问一下他们怎么勾引出先知。</v>
      </c>
      <c r="F220">
        <f t="shared" si="6"/>
        <v>57</v>
      </c>
      <c r="G220">
        <f t="shared" si="7"/>
        <v>1</v>
      </c>
    </row>
    <row r="221" spans="1:7" x14ac:dyDescent="0.15">
      <c r="A221" t="str">
        <f>INDEX(最终表!$A:$Y,语言表!$F221+4,INDEX($F$2:$L$2,1,$G221+1))</f>
        <v>t_director_dialog_1101150</v>
      </c>
      <c r="B221" t="str">
        <f>INDEX(最终表!$A:$Y,语言表!$F221+4,INDEX($F$1:$L$1,1,$G221+1))</f>
        <v>我是银月城的斥候，你快离开这里，这里是哥布林的营地。</v>
      </c>
      <c r="F221">
        <f t="shared" si="6"/>
        <v>58</v>
      </c>
      <c r="G221">
        <f t="shared" si="7"/>
        <v>1</v>
      </c>
    </row>
    <row r="222" spans="1:7" x14ac:dyDescent="0.15">
      <c r="A222" t="str">
        <f>INDEX(最终表!$A:$Y,语言表!$F222+4,INDEX($F$2:$L$2,1,$G222+1))</f>
        <v>t_director_dialog_1101151</v>
      </c>
      <c r="B222" t="str">
        <f>INDEX(最终表!$A:$Y,语言表!$F222+4,INDEX($F$1:$L$1,1,$G222+1))</f>
        <v>看刷子公会的精英啊，阁下终于来了，我终于可以离开这里了。</v>
      </c>
      <c r="F222">
        <f t="shared" si="6"/>
        <v>59</v>
      </c>
      <c r="G222">
        <f t="shared" si="7"/>
        <v>1</v>
      </c>
    </row>
    <row r="223" spans="1:7" x14ac:dyDescent="0.15">
      <c r="A223" t="str">
        <f>INDEX(最终表!$A:$Y,语言表!$F223+4,INDEX($F$2:$L$2,1,$G223+1))</f>
        <v>t_director_dialog_1101152</v>
      </c>
      <c r="B223" t="str">
        <f>INDEX(最终表!$A:$Y,语言表!$F223+4,INDEX($F$1:$L$1,1,$G223+1))</f>
        <v>之前不知道是谁讨伐了哥布林狂战士，现在哥布林先知基本不现身了。</v>
      </c>
      <c r="F223">
        <f t="shared" si="6"/>
        <v>60</v>
      </c>
      <c r="G223">
        <f t="shared" si="7"/>
        <v>1</v>
      </c>
    </row>
    <row r="224" spans="1:7" x14ac:dyDescent="0.15">
      <c r="A224" t="str">
        <f>INDEX(最终表!$A:$Y,语言表!$F224+4,INDEX($F$2:$L$2,1,$G224+1))</f>
        <v>t_director_dialog_1101153</v>
      </c>
      <c r="B224" t="str">
        <f>INDEX(最终表!$A:$Y,语言表!$F224+4,INDEX($F$1:$L$1,1,$G224+1))</f>
        <v>想要勾引出哥布林先知，需要先去击杀哥布林法师，哥布林先知必定会出现与你战斗。</v>
      </c>
      <c r="F224">
        <f t="shared" si="6"/>
        <v>61</v>
      </c>
      <c r="G224">
        <f t="shared" si="7"/>
        <v>1</v>
      </c>
    </row>
    <row r="225" spans="1:7" x14ac:dyDescent="0.15">
      <c r="A225" t="str">
        <f>INDEX(最终表!$A:$Y,语言表!$F225+4,INDEX($F$2:$L$2,1,$G225+1))</f>
        <v>t_director_dialog_1101154</v>
      </c>
      <c r="B225" t="str">
        <f>INDEX(最终表!$A:$Y,语言表!$F225+4,INDEX($F$1:$L$1,1,$G225+1))</f>
        <v>那祝阁下好运。</v>
      </c>
      <c r="F225">
        <f t="shared" si="6"/>
        <v>62</v>
      </c>
      <c r="G225">
        <f t="shared" si="7"/>
        <v>1</v>
      </c>
    </row>
    <row r="226" spans="1:7" x14ac:dyDescent="0.15">
      <c r="A226" t="str">
        <f>INDEX(最终表!$A:$Y,语言表!$F226+4,INDEX($F$2:$L$2,1,$G226+1))</f>
        <v>t_director_dialog_1101155</v>
      </c>
      <c r="B226" t="str">
        <f>INDEX(最终表!$A:$Y,语言表!$F226+4,INDEX($F$1:$L$1,1,$G226+1))</f>
        <v>哎呀，一看阁下就是强者，怪不得会被派来讨伐哥布林先知。</v>
      </c>
      <c r="F226">
        <f t="shared" si="6"/>
        <v>63</v>
      </c>
      <c r="G226">
        <f t="shared" si="7"/>
        <v>1</v>
      </c>
    </row>
    <row r="227" spans="1:7" x14ac:dyDescent="0.15">
      <c r="A227" t="str">
        <f>INDEX(最终表!$A:$Y,语言表!$F227+4,INDEX($F$2:$L$2,1,$G227+1))</f>
        <v>t_director_dialog_1101200</v>
      </c>
      <c r="B227" t="str">
        <f>INDEX(最终表!$A:$Y,语言表!$F227+4,INDEX($F$1:$L$1,1,$G227+1))</f>
        <v>你讨伐了哥布林先知了吗？</v>
      </c>
      <c r="F227">
        <f t="shared" si="6"/>
        <v>64</v>
      </c>
      <c r="G227">
        <f t="shared" si="7"/>
        <v>1</v>
      </c>
    </row>
    <row r="228" spans="1:7" x14ac:dyDescent="0.15">
      <c r="A228" t="str">
        <f>INDEX(最终表!$A:$Y,语言表!$F228+4,INDEX($F$2:$L$2,1,$G228+1))</f>
        <v>t_director_dialog_1101201</v>
      </c>
      <c r="B228" t="str">
        <f>INDEX(最终表!$A:$Y,语言表!$F228+4,INDEX($F$1:$L$1,1,$G228+1))</f>
        <v>你的实力果然和缇娜说的一样强大。你夺回了属于人类的地盘。</v>
      </c>
      <c r="F228">
        <f t="shared" si="6"/>
        <v>65</v>
      </c>
      <c r="G228">
        <f t="shared" si="7"/>
        <v>1</v>
      </c>
    </row>
    <row r="229" spans="1:7" x14ac:dyDescent="0.15">
      <c r="A229" t="str">
        <f>INDEX(最终表!$A:$Y,语言表!$F229+4,INDEX($F$2:$L$2,1,$G229+1))</f>
        <v>t_director_dialog_1101202</v>
      </c>
      <c r="B229" t="str">
        <f>INDEX(最终表!$A:$Y,语言表!$F229+4,INDEX($F$1:$L$1,1,$G229+1))</f>
        <v>卡玛刚来过，提起你是城中缇娜的朋友。缇娜，最近好像很勤奋的在帮助大家。</v>
      </c>
      <c r="F229">
        <f t="shared" si="6"/>
        <v>66</v>
      </c>
      <c r="G229">
        <f t="shared" si="7"/>
        <v>1</v>
      </c>
    </row>
    <row r="230" spans="1:7" x14ac:dyDescent="0.15">
      <c r="A230" t="str">
        <f>INDEX(最终表!$A:$Y,语言表!$F230+4,INDEX($F$2:$L$2,1,$G230+1))</f>
        <v>t_director_dialog_1101203</v>
      </c>
      <c r="B230" t="str">
        <f>INDEX(最终表!$A:$Y,语言表!$F230+4,INDEX($F$1:$L$1,1,$G230+1))</f>
        <v>那你也使出全力，为人类的未来奉献一份力量吧。</v>
      </c>
      <c r="F230">
        <f t="shared" si="6"/>
        <v>67</v>
      </c>
      <c r="G230">
        <f t="shared" si="7"/>
        <v>1</v>
      </c>
    </row>
    <row r="231" spans="1:7" x14ac:dyDescent="0.15">
      <c r="A231" t="str">
        <f>INDEX(最终表!$A:$Y,语言表!$F231+4,INDEX($F$2:$L$2,1,$G231+1))</f>
        <v>t_director_dialog_1101204</v>
      </c>
      <c r="B231" t="str">
        <f>INDEX(最终表!$A:$Y,语言表!$F231+4,INDEX($F$1:$L$1,1,$G231+1))</f>
        <v>哥布林先知有一个宝石，你获得了吗。</v>
      </c>
      <c r="F231">
        <f t="shared" si="6"/>
        <v>68</v>
      </c>
      <c r="G231">
        <f t="shared" si="7"/>
        <v>1</v>
      </c>
    </row>
    <row r="232" spans="1:7" x14ac:dyDescent="0.15">
      <c r="A232" t="str">
        <f>INDEX(最终表!$A:$Y,语言表!$F232+4,INDEX($F$2:$L$2,1,$G232+1))</f>
        <v>t_director_dialog_1101205</v>
      </c>
      <c r="B232" t="str">
        <f>INDEX(最终表!$A:$Y,语言表!$F232+4,INDEX($F$1:$L$1,1,$G232+1))</f>
        <v>哥布林先知的宝石是最为重要的道具，你可要好好使用它。</v>
      </c>
      <c r="F232">
        <f t="shared" si="6"/>
        <v>69</v>
      </c>
      <c r="G232">
        <f t="shared" si="7"/>
        <v>1</v>
      </c>
    </row>
    <row r="233" spans="1:7" x14ac:dyDescent="0.15">
      <c r="A233" t="str">
        <f>INDEX(最终表!$A:$Y,语言表!$F233+4,INDEX($F$2:$L$2,1,$G233+1))</f>
        <v>t_director_dialog_1101206</v>
      </c>
      <c r="B233" t="str">
        <f>INDEX(最终表!$A:$Y,语言表!$F233+4,INDEX($F$1:$L$1,1,$G233+1))</f>
        <v>正好接下来，我要去勇者之森调查最近魔物增多的原因。你与我一起去吧，我在勇者之森的等你。</v>
      </c>
      <c r="F233">
        <f t="shared" si="6"/>
        <v>70</v>
      </c>
      <c r="G233">
        <f t="shared" si="7"/>
        <v>1</v>
      </c>
    </row>
    <row r="234" spans="1:7" x14ac:dyDescent="0.15">
      <c r="A234" t="str">
        <f>INDEX(最终表!$A:$Y,语言表!$F234+4,INDEX($F$2:$L$2,1,$G234+1))</f>
        <v>t_director_dialog_1101400</v>
      </c>
      <c r="B234" t="str">
        <f>INDEX(最终表!$A:$Y,语言表!$F234+4,INDEX($F$1:$L$1,1,$G234+1))</f>
        <v>你好，冒险者，又见面了。</v>
      </c>
      <c r="F234">
        <f t="shared" si="6"/>
        <v>71</v>
      </c>
      <c r="G234">
        <f t="shared" si="7"/>
        <v>1</v>
      </c>
    </row>
    <row r="235" spans="1:7" x14ac:dyDescent="0.15">
      <c r="A235" t="str">
        <f>INDEX(最终表!$A:$Y,语言表!$F235+4,INDEX($F$2:$L$2,1,$G235+1))</f>
        <v>t_director_dialog_1101401</v>
      </c>
      <c r="B235" t="str">
        <f>INDEX(最终表!$A:$Y,语言表!$F235+4,INDEX($F$1:$L$1,1,$G235+1))</f>
        <v>我需要一块熊皮，你能帮我猎取吗？</v>
      </c>
      <c r="F235">
        <f t="shared" si="6"/>
        <v>72</v>
      </c>
      <c r="G235">
        <f t="shared" si="7"/>
        <v>1</v>
      </c>
    </row>
    <row r="236" spans="1:7" x14ac:dyDescent="0.15">
      <c r="A236" t="str">
        <f>INDEX(最终表!$A:$Y,语言表!$F236+4,INDEX($F$2:$L$2,1,$G236+1))</f>
        <v>t_director_dialog_1101450</v>
      </c>
      <c r="B236" t="str">
        <f>INDEX(最终表!$A:$Y,语言表!$F236+4,INDEX($F$1:$L$1,1,$G236+1))</f>
        <v>你这是有熊皮了么？</v>
      </c>
      <c r="F236">
        <f t="shared" si="6"/>
        <v>73</v>
      </c>
      <c r="G236">
        <f t="shared" si="7"/>
        <v>1</v>
      </c>
    </row>
    <row r="237" spans="1:7" x14ac:dyDescent="0.15">
      <c r="A237" t="str">
        <f>INDEX(最终表!$A:$Y,语言表!$F237+4,INDEX($F$2:$L$2,1,$G237+1))</f>
        <v>t_director_dialog_1101451</v>
      </c>
      <c r="B237" t="str">
        <f>INDEX(最终表!$A:$Y,语言表!$F237+4,INDEX($F$1:$L$1,1,$G237+1))</f>
        <v>谢谢你，冒险者，我是城中商人罗斯的未婚妻，他送我的耳环丢在了海边，可能被螃蟹捡走了，你能帮我讨伐螃蟹夺回耳环吗？</v>
      </c>
      <c r="F237">
        <f t="shared" si="6"/>
        <v>74</v>
      </c>
      <c r="G237">
        <f t="shared" si="7"/>
        <v>1</v>
      </c>
    </row>
    <row r="238" spans="1:7" x14ac:dyDescent="0.15">
      <c r="A238" t="str">
        <f>INDEX(最终表!$A:$Y,语言表!$F238+4,INDEX($F$2:$L$2,1,$G238+1))</f>
        <v>t_director_dialog_1101500</v>
      </c>
      <c r="B238" t="str">
        <f>INDEX(最终表!$A:$Y,语言表!$F238+4,INDEX($F$1:$L$1,1,$G238+1))</f>
        <v>冒险者，怎么样了？</v>
      </c>
      <c r="F238">
        <f t="shared" si="6"/>
        <v>75</v>
      </c>
      <c r="G238">
        <f t="shared" si="7"/>
        <v>1</v>
      </c>
    </row>
    <row r="239" spans="1:7" x14ac:dyDescent="0.15">
      <c r="A239" t="str">
        <f>INDEX(最终表!$A:$Y,语言表!$F239+4,INDEX($F$2:$L$2,1,$G239+1))</f>
        <v>t_director_dialog_1101501</v>
      </c>
      <c r="B239" t="str">
        <f>INDEX(最终表!$A:$Y,语言表!$F239+4,INDEX($F$1:$L$1,1,$G239+1))</f>
        <v>谢谢你冒险者，这是是罗斯送我的第一件礼物。</v>
      </c>
      <c r="F239">
        <f t="shared" si="6"/>
        <v>76</v>
      </c>
      <c r="G239">
        <f t="shared" si="7"/>
        <v>1</v>
      </c>
    </row>
    <row r="240" spans="1:7" x14ac:dyDescent="0.15">
      <c r="A240" t="str">
        <f>INDEX(最终表!$A:$Y,语言表!$F240+4,INDEX($F$2:$L$2,1,$G240+1))</f>
        <v>t_director_dialog_1101502</v>
      </c>
      <c r="B240" t="str">
        <f>INDEX(最终表!$A:$Y,语言表!$F240+4,INDEX($F$1:$L$1,1,$G240+1))</f>
        <v>冒险者，你能猎取一些螃蟹，把他的肉给我吗？我准备把这帮吃我耳环的怪物炖了。</v>
      </c>
      <c r="F240">
        <f t="shared" si="6"/>
        <v>77</v>
      </c>
      <c r="G240">
        <f t="shared" si="7"/>
        <v>1</v>
      </c>
    </row>
    <row r="241" spans="1:7" x14ac:dyDescent="0.15">
      <c r="A241" t="str">
        <f>INDEX(最终表!$A:$Y,语言表!$F241+4,INDEX($F$2:$L$2,1,$G241+1))</f>
        <v>t_director_dialog_1101600</v>
      </c>
      <c r="B241" t="str">
        <f>INDEX(最终表!$A:$Y,语言表!$F241+4,INDEX($F$1:$L$1,1,$G241+1))</f>
        <v>冒险者你帮我狩猎到蟹肉了吗？</v>
      </c>
      <c r="F241">
        <f t="shared" si="6"/>
        <v>78</v>
      </c>
      <c r="G241">
        <f t="shared" si="7"/>
        <v>1</v>
      </c>
    </row>
    <row r="242" spans="1:7" x14ac:dyDescent="0.15">
      <c r="A242" t="str">
        <f>INDEX(最终表!$A:$Y,语言表!$F242+4,INDEX($F$2:$L$2,1,$G242+1))</f>
        <v>t_director_dialog_1101601</v>
      </c>
      <c r="B242" t="str">
        <f>INDEX(最终表!$A:$Y,语言表!$F242+4,INDEX($F$1:$L$1,1,$G242+1))</f>
        <v>感谢你冒险者，这样我就可以回去了。再见了，冒险者</v>
      </c>
      <c r="F242">
        <f t="shared" si="6"/>
        <v>79</v>
      </c>
      <c r="G242">
        <f t="shared" si="7"/>
        <v>1</v>
      </c>
    </row>
    <row r="243" spans="1:7" x14ac:dyDescent="0.15">
      <c r="A243" t="str">
        <f>INDEX(最终表!$A:$Y,语言表!$F243+4,INDEX($F$2:$L$2,1,$G243+1))</f>
        <v>t_director_dialog_1101700</v>
      </c>
      <c r="B243" t="str">
        <f>INDEX(最终表!$A:$Y,语言表!$F243+4,INDEX($F$1:$L$1,1,$G243+1))</f>
        <v>又见面了，冒险者。</v>
      </c>
      <c r="F243">
        <f t="shared" si="6"/>
        <v>80</v>
      </c>
      <c r="G243">
        <f t="shared" si="7"/>
        <v>1</v>
      </c>
    </row>
    <row r="244" spans="1:7" x14ac:dyDescent="0.15">
      <c r="A244" t="str">
        <f>INDEX(最终表!$A:$Y,语言表!$F244+4,INDEX($F$2:$L$2,1,$G244+1))</f>
        <v>t_director_dialog_1101701</v>
      </c>
      <c r="B244" t="str">
        <f>INDEX(最终表!$A:$Y,语言表!$F244+4,INDEX($F$1:$L$1,1,$G244+1))</f>
        <v>现在城外比较危险，神殿不允许外出。大家物资都见底了，如果你有熊皮，我可以给你很丰厚的任务。</v>
      </c>
      <c r="F244">
        <f t="shared" si="6"/>
        <v>81</v>
      </c>
      <c r="G244">
        <f t="shared" si="7"/>
        <v>1</v>
      </c>
    </row>
    <row r="245" spans="1:7" x14ac:dyDescent="0.15">
      <c r="A245" t="str">
        <f>INDEX(最终表!$A:$Y,语言表!$F245+4,INDEX($F$2:$L$2,1,$G245+1))</f>
        <v>t_director_dialog_1101750</v>
      </c>
      <c r="B245" t="str">
        <f>INDEX(最终表!$A:$Y,语言表!$F245+4,INDEX($F$1:$L$1,1,$G245+1))</f>
        <v>冒险者，你有熊皮了吗？</v>
      </c>
      <c r="F245">
        <f t="shared" si="6"/>
        <v>82</v>
      </c>
      <c r="G245">
        <f t="shared" si="7"/>
        <v>1</v>
      </c>
    </row>
    <row r="246" spans="1:7" x14ac:dyDescent="0.15">
      <c r="A246" t="str">
        <f>INDEX(最终表!$A:$Y,语言表!$F246+4,INDEX($F$2:$L$2,1,$G246+1))</f>
        <v>t_director_dialog_1101751</v>
      </c>
      <c r="B246" t="str">
        <f>INDEX(最终表!$A:$Y,语言表!$F246+4,INDEX($F$1:$L$1,1,$G246+1))</f>
        <v>城外的渔夫一直游荡，害的镇民都不敢去海边了，你能讨伐掉他们吗？</v>
      </c>
      <c r="F246">
        <f t="shared" si="6"/>
        <v>83</v>
      </c>
      <c r="G246">
        <f t="shared" si="7"/>
        <v>1</v>
      </c>
    </row>
    <row r="247" spans="1:7" x14ac:dyDescent="0.15">
      <c r="A247" t="str">
        <f>INDEX(最终表!$A:$Y,语言表!$F247+4,INDEX($F$2:$L$2,1,$G247+1))</f>
        <v>t_director_dialog_1101800</v>
      </c>
      <c r="B247" t="str">
        <f>INDEX(最终表!$A:$Y,语言表!$F247+4,INDEX($F$1:$L$1,1,$G247+1))</f>
        <v>冒险者，你讨伐了渔民了么？</v>
      </c>
      <c r="F247">
        <f t="shared" si="6"/>
        <v>84</v>
      </c>
      <c r="G247">
        <f t="shared" si="7"/>
        <v>1</v>
      </c>
    </row>
    <row r="248" spans="1:7" x14ac:dyDescent="0.15">
      <c r="A248" t="str">
        <f>INDEX(最终表!$A:$Y,语言表!$F248+4,INDEX($F$2:$L$2,1,$G248+1))</f>
        <v>t_director_dialog_1101801</v>
      </c>
      <c r="B248" t="str">
        <f>INDEX(最终表!$A:$Y,语言表!$F248+4,INDEX($F$1:$L$1,1,$G248+1))</f>
        <v>打好了。你可以再击杀些鹿，带回来一些鹿肉吗？</v>
      </c>
      <c r="F248">
        <f t="shared" si="6"/>
        <v>85</v>
      </c>
      <c r="G248">
        <f t="shared" si="7"/>
        <v>1</v>
      </c>
    </row>
    <row r="249" spans="1:7" x14ac:dyDescent="0.15">
      <c r="A249" t="str">
        <f>INDEX(最终表!$A:$Y,语言表!$F249+4,INDEX($F$2:$L$2,1,$G249+1))</f>
        <v>t_director_dialog_1101900</v>
      </c>
      <c r="B249" t="str">
        <f>INDEX(最终表!$A:$Y,语言表!$F249+4,INDEX($F$1:$L$1,1,$G249+1))</f>
        <v>冒险者，你狩猎到鹿肉了么？</v>
      </c>
      <c r="F249">
        <f t="shared" si="6"/>
        <v>86</v>
      </c>
      <c r="G249">
        <f t="shared" si="7"/>
        <v>1</v>
      </c>
    </row>
    <row r="250" spans="1:7" x14ac:dyDescent="0.15">
      <c r="A250" t="str">
        <f>INDEX(最终表!$A:$Y,语言表!$F250+4,INDEX($F$2:$L$2,1,$G250+1))</f>
        <v>t_director_dialog_1101901</v>
      </c>
      <c r="B250" t="str">
        <f>INDEX(最终表!$A:$Y,语言表!$F250+4,INDEX($F$1:$L$1,1,$G250+1))</f>
        <v>谢谢你了，冒险者，城镇中的人会记住你的恩德的。</v>
      </c>
      <c r="F250">
        <f t="shared" si="6"/>
        <v>87</v>
      </c>
      <c r="G250">
        <f t="shared" si="7"/>
        <v>1</v>
      </c>
    </row>
    <row r="251" spans="1:7" x14ac:dyDescent="0.15">
      <c r="A251" t="str">
        <f>INDEX(最终表!$A:$Y,语言表!$F251+4,INDEX($F$2:$L$2,1,$G251+1))</f>
        <v>t_director_dialog_1102000</v>
      </c>
      <c r="B251" t="str">
        <f>INDEX(最终表!$A:$Y,语言表!$F251+4,INDEX($F$1:$L$1,1,$G251+1))</f>
        <v>你好像是刷子公会的冒险者?</v>
      </c>
      <c r="F251">
        <f t="shared" si="6"/>
        <v>88</v>
      </c>
      <c r="G251">
        <f t="shared" si="7"/>
        <v>1</v>
      </c>
    </row>
    <row r="252" spans="1:7" x14ac:dyDescent="0.15">
      <c r="A252" t="str">
        <f>INDEX(最终表!$A:$Y,语言表!$F252+4,INDEX($F$2:$L$2,1,$G252+1))</f>
        <v>t_director_dialog_1102001</v>
      </c>
      <c r="B252" t="str">
        <f>INDEX(最终表!$A:$Y,语言表!$F252+4,INDEX($F$1:$L$1,1,$G252+1))</f>
        <v>那正好，我是神殿的汉森·卡特，负责围杀该死的异端，我正好需要你的力量。</v>
      </c>
      <c r="F252">
        <f t="shared" si="6"/>
        <v>89</v>
      </c>
      <c r="G252">
        <f t="shared" si="7"/>
        <v>1</v>
      </c>
    </row>
    <row r="253" spans="1:7" x14ac:dyDescent="0.15">
      <c r="A253" t="str">
        <f>INDEX(最终表!$A:$Y,语言表!$F253+4,INDEX($F$2:$L$2,1,$G253+1))</f>
        <v>t_director_dialog_1102002</v>
      </c>
      <c r="B253" t="str">
        <f>INDEX(最终表!$A:$Y,语言表!$F253+4,INDEX($F$1:$L$1,1,$G253+1))</f>
        <v>想为神殿办事，需要的供奉自然是不能少的。</v>
      </c>
      <c r="F253">
        <f t="shared" si="6"/>
        <v>90</v>
      </c>
      <c r="G253">
        <f t="shared" si="7"/>
        <v>1</v>
      </c>
    </row>
    <row r="254" spans="1:7" x14ac:dyDescent="0.15">
      <c r="A254" t="str">
        <f>INDEX(最终表!$A:$Y,语言表!$F254+4,INDEX($F$2:$L$2,1,$G254+1))</f>
        <v>t_director_dialog_1102003</v>
      </c>
      <c r="B254" t="str">
        <f>INDEX(最终表!$A:$Y,语言表!$F254+4,INDEX($F$1:$L$1,1,$G254+1))</f>
        <v>盗贼身上会有铁块，你若是能帮我回收一些，神殿的这次任务，我就让你去做。</v>
      </c>
      <c r="F254">
        <f t="shared" si="6"/>
        <v>91</v>
      </c>
      <c r="G254">
        <f t="shared" si="7"/>
        <v>1</v>
      </c>
    </row>
    <row r="255" spans="1:7" x14ac:dyDescent="0.15">
      <c r="A255" t="str">
        <f>INDEX(最终表!$A:$Y,语言表!$F255+4,INDEX($F$2:$L$2,1,$G255+1))</f>
        <v>t_director_dialog_1102050</v>
      </c>
      <c r="B255" t="str">
        <f>INDEX(最终表!$A:$Y,语言表!$F255+4,INDEX($F$1:$L$1,1,$G255+1))</f>
        <v>你收集到铁块没？</v>
      </c>
      <c r="F255">
        <f t="shared" si="6"/>
        <v>92</v>
      </c>
      <c r="G255">
        <f t="shared" si="7"/>
        <v>1</v>
      </c>
    </row>
    <row r="256" spans="1:7" x14ac:dyDescent="0.15">
      <c r="A256" t="str">
        <f>INDEX(最终表!$A:$Y,语言表!$F256+4,INDEX($F$2:$L$2,1,$G256+1))</f>
        <v>t_director_dialog_1102051</v>
      </c>
      <c r="B256" t="str">
        <f>INDEX(最终表!$A:$Y,语言表!$F256+4,INDEX($F$1:$L$1,1,$G256+1))</f>
        <v>你挺懂事，那么你就去讨伐异端巫婆吧。</v>
      </c>
      <c r="F256">
        <f t="shared" si="6"/>
        <v>93</v>
      </c>
      <c r="G256">
        <f t="shared" si="7"/>
        <v>1</v>
      </c>
    </row>
    <row r="257" spans="1:7" x14ac:dyDescent="0.15">
      <c r="A257" t="str">
        <f>INDEX(最终表!$A:$Y,语言表!$F257+4,INDEX($F$2:$L$2,1,$G257+1))</f>
        <v>t_director_dialog_1102100</v>
      </c>
      <c r="B257" t="str">
        <f>INDEX(最终表!$A:$Y,语言表!$F257+4,INDEX($F$1:$L$1,1,$G257+1))</f>
        <v>你任务完成的怎么样了？</v>
      </c>
      <c r="F257">
        <f t="shared" si="6"/>
        <v>94</v>
      </c>
      <c r="G257">
        <f t="shared" si="7"/>
        <v>1</v>
      </c>
    </row>
    <row r="258" spans="1:7" x14ac:dyDescent="0.15">
      <c r="A258" t="str">
        <f>INDEX(最终表!$A:$Y,语言表!$F258+4,INDEX($F$2:$L$2,1,$G258+1))</f>
        <v>t_director_dialog_1102101</v>
      </c>
      <c r="B258" t="str">
        <f>INDEX(最终表!$A:$Y,语言表!$F258+4,INDEX($F$1:$L$1,1,$G258+1))</f>
        <v>击杀这么多，我也算消气了。</v>
      </c>
      <c r="F258">
        <f t="shared" si="6"/>
        <v>95</v>
      </c>
      <c r="G258">
        <f t="shared" si="7"/>
        <v>1</v>
      </c>
    </row>
    <row r="259" spans="1:7" x14ac:dyDescent="0.15">
      <c r="A259" t="str">
        <f>INDEX(最终表!$A:$Y,语言表!$F259+4,INDEX($F$2:$L$2,1,$G259+1))</f>
        <v>t_director_dialog_1102102</v>
      </c>
      <c r="B259" t="str">
        <f>INDEX(最终表!$A:$Y,语言表!$F259+4,INDEX($F$1:$L$1,1,$G259+1))</f>
        <v>巫婆的身上会有破碎的魔法结晶，你去可收集了给我。</v>
      </c>
      <c r="F259">
        <f t="shared" si="6"/>
        <v>96</v>
      </c>
      <c r="G259">
        <f t="shared" si="7"/>
        <v>1</v>
      </c>
    </row>
    <row r="260" spans="1:7" x14ac:dyDescent="0.15">
      <c r="A260" t="str">
        <f>INDEX(最终表!$A:$Y,语言表!$F260+4,INDEX($F$2:$L$2,1,$G260+1))</f>
        <v>t_director_dialog_1102103</v>
      </c>
      <c r="B260" t="str">
        <f>INDEX(最终表!$A:$Y,语言表!$F260+4,INDEX($F$1:$L$1,1,$G260+1))</f>
        <v>那东西可以卖钱的，你知道不知道，快去给我收集去。</v>
      </c>
      <c r="F260">
        <f t="shared" si="6"/>
        <v>97</v>
      </c>
      <c r="G260">
        <f t="shared" si="7"/>
        <v>1</v>
      </c>
    </row>
    <row r="261" spans="1:7" x14ac:dyDescent="0.15">
      <c r="A261" t="str">
        <f>INDEX(最终表!$A:$Y,语言表!$F261+4,INDEX($F$2:$L$2,1,$G261+1))</f>
        <v>t_director_dialog_1102104</v>
      </c>
      <c r="B261" t="str">
        <f>INDEX(最终表!$A:$Y,语言表!$F261+4,INDEX($F$1:$L$1,1,$G261+1))</f>
        <v>神殿的任务你都不接了吗？冒险者？</v>
      </c>
      <c r="F261">
        <f t="shared" ref="F261:F324" si="8">MOD(ROW()-4,$N$1-3)</f>
        <v>98</v>
      </c>
      <c r="G261">
        <f t="shared" ref="G261:G324" si="9">INT((ROW()-4)/($N$1-3))</f>
        <v>1</v>
      </c>
    </row>
    <row r="262" spans="1:7" x14ac:dyDescent="0.15">
      <c r="A262" t="str">
        <f>INDEX(最终表!$A:$Y,语言表!$F262+4,INDEX($F$2:$L$2,1,$G262+1))</f>
        <v>t_director_dialog_1102105</v>
      </c>
      <c r="B262" t="str">
        <f>INDEX(最终表!$A:$Y,语言表!$F262+4,INDEX($F$1:$L$1,1,$G262+1))</f>
        <v>你别走啊，我可打不过巫婆。</v>
      </c>
      <c r="F262">
        <f t="shared" si="8"/>
        <v>99</v>
      </c>
      <c r="G262">
        <f t="shared" si="9"/>
        <v>1</v>
      </c>
    </row>
    <row r="263" spans="1:7" x14ac:dyDescent="0.15">
      <c r="A263" t="str">
        <f>INDEX(最终表!$A:$Y,语言表!$F263+4,INDEX($F$2:$L$2,1,$G263+1))</f>
        <v>t_director_dialog_1102106</v>
      </c>
      <c r="B263" t="str">
        <f>INDEX(最终表!$A:$Y,语言表!$F263+4,INDEX($F$1:$L$1,1,$G263+1))</f>
        <v>大人，我错了，我会给你报酬的，帮帮我。</v>
      </c>
      <c r="F263">
        <f t="shared" si="8"/>
        <v>100</v>
      </c>
      <c r="G263">
        <f t="shared" si="9"/>
        <v>1</v>
      </c>
    </row>
    <row r="264" spans="1:7" x14ac:dyDescent="0.15">
      <c r="A264" t="str">
        <f>INDEX(最终表!$A:$Y,语言表!$F264+4,INDEX($F$2:$L$2,1,$G264+1))</f>
        <v>t_director_dialog_1102107</v>
      </c>
      <c r="B264" t="str">
        <f>INDEX(最终表!$A:$Y,语言表!$F264+4,INDEX($F$1:$L$1,1,$G264+1))</f>
        <v>谢谢大人，谢谢阁下。</v>
      </c>
      <c r="F264">
        <f t="shared" si="8"/>
        <v>101</v>
      </c>
      <c r="G264">
        <f t="shared" si="9"/>
        <v>1</v>
      </c>
    </row>
    <row r="265" spans="1:7" x14ac:dyDescent="0.15">
      <c r="A265" t="str">
        <f>INDEX(最终表!$A:$Y,语言表!$F265+4,INDEX($F$2:$L$2,1,$G265+1))</f>
        <v>t_director_dialog_1102200</v>
      </c>
      <c r="B265" t="str">
        <f>INDEX(最终表!$A:$Y,语言表!$F265+4,INDEX($F$1:$L$1,1,$G265+1))</f>
        <v>你收集到破碎的魔法结晶没？</v>
      </c>
      <c r="F265">
        <f t="shared" si="8"/>
        <v>102</v>
      </c>
      <c r="G265">
        <f t="shared" si="9"/>
        <v>1</v>
      </c>
    </row>
    <row r="266" spans="1:7" x14ac:dyDescent="0.15">
      <c r="A266" t="str">
        <f>INDEX(最终表!$A:$Y,语言表!$F266+4,INDEX($F$2:$L$2,1,$G266+1))</f>
        <v>t_director_dialog_1102201</v>
      </c>
      <c r="B266" t="str">
        <f>INDEX(最终表!$A:$Y,语言表!$F266+4,INDEX($F$1:$L$1,1,$G266+1))</f>
        <v>算你完成了。这些巫婆真是活该。</v>
      </c>
      <c r="F266">
        <f t="shared" si="8"/>
        <v>103</v>
      </c>
      <c r="G266">
        <f t="shared" si="9"/>
        <v>1</v>
      </c>
    </row>
    <row r="267" spans="1:7" x14ac:dyDescent="0.15">
      <c r="A267" t="str">
        <f>INDEX(最终表!$A:$Y,语言表!$F267+4,INDEX($F$2:$L$2,1,$G267+1))</f>
        <v>t_director_dialog_1102300</v>
      </c>
      <c r="B267" t="str">
        <f>INDEX(最终表!$A:$Y,语言表!$F267+4,INDEX($F$1:$L$1,1,$G267+1))</f>
        <v>你是新加入刷子公会的冒险者？</v>
      </c>
      <c r="F267">
        <f t="shared" si="8"/>
        <v>104</v>
      </c>
      <c r="G267">
        <f t="shared" si="9"/>
        <v>1</v>
      </c>
    </row>
    <row r="268" spans="1:7" x14ac:dyDescent="0.15">
      <c r="A268" t="str">
        <f>INDEX(最终表!$A:$Y,语言表!$F268+4,INDEX($F$2:$L$2,1,$G268+1))</f>
        <v>t_director_dialog_1102301</v>
      </c>
      <c r="B268" t="str">
        <f>INDEX(最终表!$A:$Y,语言表!$F268+4,INDEX($F$1:$L$1,1,$G268+1))</f>
        <v>我是银月矿产资源的幕僚长，北方的山脉被哥布林占领，导致城内没有铁资源采集，我来侦查情况。</v>
      </c>
      <c r="F268">
        <f t="shared" si="8"/>
        <v>105</v>
      </c>
      <c r="G268">
        <f t="shared" si="9"/>
        <v>1</v>
      </c>
    </row>
    <row r="269" spans="1:7" x14ac:dyDescent="0.15">
      <c r="A269" t="str">
        <f>INDEX(最终表!$A:$Y,语言表!$F269+4,INDEX($F$2:$L$2,1,$G269+1))</f>
        <v>t_director_dialog_1102302</v>
      </c>
      <c r="B269" t="str">
        <f>INDEX(最终表!$A:$Y,语言表!$F269+4,INDEX($F$1:$L$1,1,$G269+1))</f>
        <v>西方有盗贼，他们身上肯定有很多铁矿，你若果有铁矿，交给我，我有很多对你有益的任务。</v>
      </c>
      <c r="F269">
        <f t="shared" si="8"/>
        <v>106</v>
      </c>
      <c r="G269">
        <f t="shared" si="9"/>
        <v>1</v>
      </c>
    </row>
    <row r="270" spans="1:7" x14ac:dyDescent="0.15">
      <c r="A270" t="str">
        <f>INDEX(最终表!$A:$Y,语言表!$F270+4,INDEX($F$2:$L$2,1,$G270+1))</f>
        <v>t_director_dialog_1102310</v>
      </c>
      <c r="B270" t="str">
        <f>INDEX(最终表!$A:$Y,语言表!$F270+4,INDEX($F$1:$L$1,1,$G270+1))</f>
        <v>你有铁矿交给我吗？</v>
      </c>
      <c r="F270">
        <f t="shared" si="8"/>
        <v>107</v>
      </c>
      <c r="G270">
        <f t="shared" si="9"/>
        <v>1</v>
      </c>
    </row>
    <row r="271" spans="1:7" x14ac:dyDescent="0.15">
      <c r="A271" t="str">
        <f>INDEX(最终表!$A:$Y,语言表!$F271+4,INDEX($F$2:$L$2,1,$G271+1))</f>
        <v>t_director_dialog_1102311</v>
      </c>
      <c r="B271" t="str">
        <f>INDEX(最终表!$A:$Y,语言表!$F271+4,INDEX($F$1:$L$1,1,$G271+1))</f>
        <v>城镇外围有很多游荡的渔民，他们很被塞壬的歌声迷惑，已经没有救了。</v>
      </c>
      <c r="F271">
        <f t="shared" si="8"/>
        <v>108</v>
      </c>
      <c r="G271">
        <f t="shared" si="9"/>
        <v>1</v>
      </c>
    </row>
    <row r="272" spans="1:7" x14ac:dyDescent="0.15">
      <c r="A272" t="str">
        <f>INDEX(最终表!$A:$Y,语言表!$F272+4,INDEX($F$2:$L$2,1,$G272+1))</f>
        <v>t_director_dialog_1102312</v>
      </c>
      <c r="B272" t="str">
        <f>INDEX(最终表!$A:$Y,语言表!$F272+4,INDEX($F$1:$L$1,1,$G272+1))</f>
        <v>你能讨伐了他们，帮我们开一条回城的路出来吗？</v>
      </c>
      <c r="F272">
        <f t="shared" si="8"/>
        <v>109</v>
      </c>
      <c r="G272">
        <f t="shared" si="9"/>
        <v>1</v>
      </c>
    </row>
    <row r="273" spans="1:7" x14ac:dyDescent="0.15">
      <c r="A273" t="str">
        <f>INDEX(最终表!$A:$Y,语言表!$F273+4,INDEX($F$2:$L$2,1,$G273+1))</f>
        <v>t_director_dialog_1102350</v>
      </c>
      <c r="B273" t="str">
        <f>INDEX(最终表!$A:$Y,语言表!$F273+4,INDEX($F$1:$L$1,1,$G273+1))</f>
        <v>阁下，你讨伐掉那帮渔夫了么？</v>
      </c>
      <c r="F273">
        <f t="shared" si="8"/>
        <v>110</v>
      </c>
      <c r="G273">
        <f t="shared" si="9"/>
        <v>1</v>
      </c>
    </row>
    <row r="274" spans="1:7" x14ac:dyDescent="0.15">
      <c r="A274" t="str">
        <f>INDEX(最终表!$A:$Y,语言表!$F274+4,INDEX($F$2:$L$2,1,$G274+1))</f>
        <v>t_director_dialog_1102351</v>
      </c>
      <c r="B274" t="str">
        <f>INDEX(最终表!$A:$Y,语言表!$F274+4,INDEX($F$1:$L$1,1,$G274+1))</f>
        <v>可怜的渔夫，塞壬夜里经常会高歌，在海边的渔夫听到就会被迷惑。</v>
      </c>
      <c r="F274">
        <f t="shared" si="8"/>
        <v>111</v>
      </c>
      <c r="G274">
        <f t="shared" si="9"/>
        <v>1</v>
      </c>
    </row>
    <row r="275" spans="1:7" x14ac:dyDescent="0.15">
      <c r="A275" t="str">
        <f>INDEX(最终表!$A:$Y,语言表!$F275+4,INDEX($F$2:$L$2,1,$G275+1))</f>
        <v>t_director_dialog_1102352</v>
      </c>
      <c r="B275" t="str">
        <f>INDEX(最终表!$A:$Y,语言表!$F275+4,INDEX($F$1:$L$1,1,$G275+1))</f>
        <v>对了，阁下，渔夫拿有武器，阁下能回收他们的武器吗？</v>
      </c>
      <c r="F275">
        <f t="shared" si="8"/>
        <v>112</v>
      </c>
      <c r="G275">
        <f t="shared" si="9"/>
        <v>1</v>
      </c>
    </row>
    <row r="276" spans="1:7" x14ac:dyDescent="0.15">
      <c r="A276" t="str">
        <f>INDEX(最终表!$A:$Y,语言表!$F276+4,INDEX($F$2:$L$2,1,$G276+1))</f>
        <v>t_director_dialog_1102400</v>
      </c>
      <c r="B276" t="str">
        <f>INDEX(最终表!$A:$Y,语言表!$F276+4,INDEX($F$1:$L$1,1,$G276+1))</f>
        <v>你回收他们的武器了吗？</v>
      </c>
      <c r="F276">
        <f t="shared" si="8"/>
        <v>113</v>
      </c>
      <c r="G276">
        <f t="shared" si="9"/>
        <v>1</v>
      </c>
    </row>
    <row r="277" spans="1:7" x14ac:dyDescent="0.15">
      <c r="A277" t="str">
        <f>INDEX(最终表!$A:$Y,语言表!$F277+4,INDEX($F$2:$L$2,1,$G277+1))</f>
        <v>t_director_dialog_1102401</v>
      </c>
      <c r="B277" t="str">
        <f>INDEX(最终表!$A:$Y,语言表!$F277+4,INDEX($F$1:$L$1,1,$G277+1))</f>
        <v>多谢阁下，这些稍微能缓解一下紧急的情况了。</v>
      </c>
      <c r="F277">
        <f t="shared" si="8"/>
        <v>114</v>
      </c>
      <c r="G277">
        <f t="shared" si="9"/>
        <v>1</v>
      </c>
    </row>
    <row r="278" spans="1:7" x14ac:dyDescent="0.15">
      <c r="A278" t="str">
        <f>INDEX(最终表!$A:$Y,语言表!$F278+4,INDEX($F$2:$L$2,1,$G278+1))</f>
        <v>t_director_dialog_1102410</v>
      </c>
      <c r="B278" t="str">
        <f>INDEX(最终表!$A:$Y,语言表!$F278+4,INDEX($F$1:$L$1,1,$G278+1))</f>
        <v>阁下，你能这么轻松的回收这么多武器，我想，有一个任务阁下，一定能完成。</v>
      </c>
      <c r="F278">
        <f t="shared" si="8"/>
        <v>115</v>
      </c>
      <c r="G278">
        <f t="shared" si="9"/>
        <v>1</v>
      </c>
    </row>
    <row r="279" spans="1:7" x14ac:dyDescent="0.15">
      <c r="A279" t="str">
        <f>INDEX(最终表!$A:$Y,语言表!$F279+4,INDEX($F$2:$L$2,1,$G279+1))</f>
        <v>t_director_dialog_1102411</v>
      </c>
      <c r="B279" t="str">
        <f>INDEX(最终表!$A:$Y,语言表!$F279+4,INDEX($F$1:$L$1,1,$G279+1))</f>
        <v>哥布林族的狂战士在北方48.63周围，阁下如果有他的兽皮，那我还有个任务，交给阁下。</v>
      </c>
      <c r="F279">
        <f t="shared" si="8"/>
        <v>116</v>
      </c>
      <c r="G279">
        <f t="shared" si="9"/>
        <v>1</v>
      </c>
    </row>
    <row r="280" spans="1:7" x14ac:dyDescent="0.15">
      <c r="A280" t="str">
        <f>INDEX(最终表!$A:$Y,语言表!$F280+4,INDEX($F$2:$L$2,1,$G280+1))</f>
        <v>t_director_dialog_1102450</v>
      </c>
      <c r="B280" t="str">
        <f>INDEX(最终表!$A:$Y,语言表!$F280+4,INDEX($F$1:$L$1,1,$G280+1))</f>
        <v>阁下，可有了兽皮？</v>
      </c>
      <c r="F280">
        <f t="shared" si="8"/>
        <v>117</v>
      </c>
      <c r="G280">
        <f t="shared" si="9"/>
        <v>1</v>
      </c>
    </row>
    <row r="281" spans="1:7" x14ac:dyDescent="0.15">
      <c r="A281" t="str">
        <f>INDEX(最终表!$A:$Y,语言表!$F281+4,INDEX($F$2:$L$2,1,$G281+1))</f>
        <v>t_director_dialog_1102451</v>
      </c>
      <c r="B281" t="str">
        <f>INDEX(最终表!$A:$Y,语言表!$F281+4,INDEX($F$1:$L$1,1,$G281+1))</f>
        <v>阁下，既然击杀了狂战士，那么，也请阁下讨伐一下周围的哥布林战士吧！</v>
      </c>
      <c r="F281">
        <f t="shared" si="8"/>
        <v>118</v>
      </c>
      <c r="G281">
        <f t="shared" si="9"/>
        <v>1</v>
      </c>
    </row>
    <row r="282" spans="1:7" x14ac:dyDescent="0.15">
      <c r="A282" t="str">
        <f>INDEX(最终表!$A:$Y,语言表!$F282+4,INDEX($F$2:$L$2,1,$G282+1))</f>
        <v>t_director_dialog_1102480</v>
      </c>
      <c r="B282" t="str">
        <f>INDEX(最终表!$A:$Y,语言表!$F282+4,INDEX($F$1:$L$1,1,$G282+1))</f>
        <v>阁下，讨伐的怎么样？</v>
      </c>
      <c r="F282">
        <f t="shared" si="8"/>
        <v>119</v>
      </c>
      <c r="G282">
        <f t="shared" si="9"/>
        <v>1</v>
      </c>
    </row>
    <row r="283" spans="1:7" x14ac:dyDescent="0.15">
      <c r="A283" t="str">
        <f>INDEX(最终表!$A:$Y,语言表!$F283+4,INDEX($F$2:$L$2,1,$G283+1))</f>
        <v>t_director_dialog_1102481</v>
      </c>
      <c r="B283" t="str">
        <f>INDEX(最终表!$A:$Y,语言表!$F283+4,INDEX($F$1:$L$1,1,$G283+1))</f>
        <v>阁下，真是强大。</v>
      </c>
      <c r="F283">
        <f t="shared" si="8"/>
        <v>120</v>
      </c>
      <c r="G283">
        <f t="shared" si="9"/>
        <v>1</v>
      </c>
    </row>
    <row r="284" spans="1:7" x14ac:dyDescent="0.15">
      <c r="A284" t="str">
        <f>INDEX(最终表!$A:$Y,语言表!$F284+4,INDEX($F$2:$L$2,1,$G284+1))</f>
        <v>t_director_dialog_1102482</v>
      </c>
      <c r="B284" t="str">
        <f>INDEX(最终表!$A:$Y,语言表!$F284+4,INDEX($F$1:$L$1,1,$G284+1))</f>
        <v>阁下他们身上有破碎的铁块，阁下可以帮我收集一下。我带回去，可以让士兵更有信心来收复这里。</v>
      </c>
      <c r="F284">
        <f t="shared" si="8"/>
        <v>121</v>
      </c>
      <c r="G284">
        <f t="shared" si="9"/>
        <v>1</v>
      </c>
    </row>
    <row r="285" spans="1:7" x14ac:dyDescent="0.15">
      <c r="A285" t="str">
        <f>INDEX(最终表!$A:$Y,语言表!$F285+4,INDEX($F$2:$L$2,1,$G285+1))</f>
        <v>t_director_dialog_1102483</v>
      </c>
      <c r="B285" t="str">
        <f>INDEX(最终表!$A:$Y,语言表!$F285+4,INDEX($F$1:$L$1,1,$G285+1))</f>
        <v>真正的士兵都被神殿强行征召了。留守的士兵，连游荡的渔夫都难以应付。</v>
      </c>
      <c r="F285">
        <f t="shared" si="8"/>
        <v>122</v>
      </c>
      <c r="G285">
        <f t="shared" si="9"/>
        <v>1</v>
      </c>
    </row>
    <row r="286" spans="1:7" x14ac:dyDescent="0.15">
      <c r="A286" t="str">
        <f>INDEX(最终表!$A:$Y,语言表!$F286+4,INDEX($F$2:$L$2,1,$G286+1))</f>
        <v>t_director_dialog_1102484</v>
      </c>
      <c r="B286" t="str">
        <f>INDEX(最终表!$A:$Y,语言表!$F286+4,INDEX($F$1:$L$1,1,$G286+1))</f>
        <v>神殿在刷子公会的强者外出后就在密谋什么。</v>
      </c>
      <c r="F286">
        <f t="shared" si="8"/>
        <v>123</v>
      </c>
      <c r="G286">
        <f t="shared" si="9"/>
        <v>1</v>
      </c>
    </row>
    <row r="287" spans="1:7" x14ac:dyDescent="0.15">
      <c r="A287" t="str">
        <f>INDEX(最终表!$A:$Y,语言表!$F287+4,INDEX($F$2:$L$2,1,$G287+1))</f>
        <v>t_director_dialog_1102500</v>
      </c>
      <c r="B287" t="str">
        <f>INDEX(最终表!$A:$Y,语言表!$F287+4,INDEX($F$1:$L$1,1,$G287+1))</f>
        <v>阁下收缴好了吗？</v>
      </c>
      <c r="F287">
        <f t="shared" si="8"/>
        <v>124</v>
      </c>
      <c r="G287">
        <f t="shared" si="9"/>
        <v>1</v>
      </c>
    </row>
    <row r="288" spans="1:7" x14ac:dyDescent="0.15">
      <c r="A288" t="str">
        <f>INDEX(最终表!$A:$Y,语言表!$F288+4,INDEX($F$2:$L$2,1,$G288+1))</f>
        <v>t_director_dialog_1102501</v>
      </c>
      <c r="B288" t="str">
        <f>INDEX(最终表!$A:$Y,语言表!$F288+4,INDEX($F$1:$L$1,1,$G288+1))</f>
        <v>多谢阁下，不愧是人类的精英刷子公会的人。</v>
      </c>
      <c r="F288">
        <f t="shared" si="8"/>
        <v>125</v>
      </c>
      <c r="G288">
        <f t="shared" si="9"/>
        <v>1</v>
      </c>
    </row>
    <row r="289" spans="1:7" x14ac:dyDescent="0.15">
      <c r="A289" t="str">
        <f>INDEX(最终表!$A:$Y,语言表!$F289+4,INDEX($F$2:$L$2,1,$G289+1))</f>
        <v>t_director_dialog_1102600</v>
      </c>
      <c r="B289" t="str">
        <f>INDEX(最终表!$A:$Y,语言表!$F289+4,INDEX($F$1:$L$1,1,$G289+1))</f>
        <v>阁下，都到了这一步了，阁下能直接去讨伐哥布林先知吗？获得他的宝玉交给我。</v>
      </c>
      <c r="F289">
        <f t="shared" si="8"/>
        <v>126</v>
      </c>
      <c r="G289">
        <f t="shared" si="9"/>
        <v>1</v>
      </c>
    </row>
    <row r="290" spans="1:7" x14ac:dyDescent="0.15">
      <c r="A290" t="str">
        <f>INDEX(最终表!$A:$Y,语言表!$F290+4,INDEX($F$2:$L$2,1,$G290+1))</f>
        <v>t_director_dialog_1102650</v>
      </c>
      <c r="B290" t="str">
        <f>INDEX(最终表!$A:$Y,语言表!$F290+4,INDEX($F$1:$L$1,1,$G290+1))</f>
        <v>阁下，您获得宝玉了吗？</v>
      </c>
      <c r="F290">
        <f t="shared" si="8"/>
        <v>127</v>
      </c>
      <c r="G290">
        <f t="shared" si="9"/>
        <v>1</v>
      </c>
    </row>
    <row r="291" spans="1:7" x14ac:dyDescent="0.15">
      <c r="A291" t="str">
        <f>INDEX(最终表!$A:$Y,语言表!$F291+4,INDEX($F$2:$L$2,1,$G291+1))</f>
        <v>t_director_dialog_1102651</v>
      </c>
      <c r="B291" t="str">
        <f>INDEX(最终表!$A:$Y,语言表!$F291+4,INDEX($F$1:$L$1,1,$G291+1))</f>
        <v>阁下，真是天纵英才，您讨伐一些剩下的哥布林法师吧？</v>
      </c>
      <c r="F291">
        <f t="shared" si="8"/>
        <v>128</v>
      </c>
      <c r="G291">
        <f t="shared" si="9"/>
        <v>1</v>
      </c>
    </row>
    <row r="292" spans="1:7" x14ac:dyDescent="0.15">
      <c r="A292" t="str">
        <f>INDEX(最终表!$A:$Y,语言表!$F292+4,INDEX($F$2:$L$2,1,$G292+1))</f>
        <v>t_director_dialog_1102652</v>
      </c>
      <c r="B292" t="str">
        <f>INDEX(最终表!$A:$Y,语言表!$F292+4,INDEX($F$1:$L$1,1,$G292+1))</f>
        <v>阁下若是能完成任务，我正好知道神殿密谋的是什么，可以告诉阁下。</v>
      </c>
      <c r="F292">
        <f t="shared" si="8"/>
        <v>129</v>
      </c>
      <c r="G292">
        <f t="shared" si="9"/>
        <v>1</v>
      </c>
    </row>
    <row r="293" spans="1:7" x14ac:dyDescent="0.15">
      <c r="A293" t="str">
        <f>INDEX(最终表!$A:$Y,语言表!$F293+4,INDEX($F$2:$L$2,1,$G293+1))</f>
        <v>t_director_dialog_1102700</v>
      </c>
      <c r="B293" t="str">
        <f>INDEX(最终表!$A:$Y,语言表!$F293+4,INDEX($F$1:$L$1,1,$G293+1))</f>
        <v>阁下，您扫荡了哥布林法师了吗？</v>
      </c>
      <c r="F293">
        <f t="shared" si="8"/>
        <v>130</v>
      </c>
      <c r="G293">
        <f t="shared" si="9"/>
        <v>1</v>
      </c>
    </row>
    <row r="294" spans="1:7" x14ac:dyDescent="0.15">
      <c r="A294" t="str">
        <f>INDEX(最终表!$A:$Y,语言表!$F294+4,INDEX($F$2:$L$2,1,$G294+1))</f>
        <v>t_director_dialog_1102701</v>
      </c>
      <c r="B294" t="str">
        <f>INDEX(最终表!$A:$Y,语言表!$F294+4,INDEX($F$1:$L$1,1,$G294+1))</f>
        <v>阁下，哥布林法师身上的破碎的魔法结晶可是好东西，阁下可以获得一些。我会告诉阁下我知道的关于神殿所有的消息。</v>
      </c>
      <c r="F294">
        <f t="shared" si="8"/>
        <v>131</v>
      </c>
      <c r="G294">
        <f t="shared" si="9"/>
        <v>1</v>
      </c>
    </row>
    <row r="295" spans="1:7" x14ac:dyDescent="0.15">
      <c r="A295" t="str">
        <f>INDEX(最终表!$A:$Y,语言表!$F295+4,INDEX($F$2:$L$2,1,$G295+1))</f>
        <v>t_director_dialog_1102800</v>
      </c>
      <c r="B295" t="str">
        <f>INDEX(最终表!$A:$Y,语言表!$F295+4,INDEX($F$1:$L$1,1,$G295+1))</f>
        <v>阁下，您收集了破碎的魔法结晶吗？</v>
      </c>
      <c r="F295">
        <f t="shared" si="8"/>
        <v>132</v>
      </c>
      <c r="G295">
        <f t="shared" si="9"/>
        <v>1</v>
      </c>
    </row>
    <row r="296" spans="1:7" x14ac:dyDescent="0.15">
      <c r="A296" t="str">
        <f>INDEX(最终表!$A:$Y,语言表!$F296+4,INDEX($F$2:$L$2,1,$G296+1))</f>
        <v>t_director_dialog_1102801</v>
      </c>
      <c r="B296" t="str">
        <f>INDEX(最终表!$A:$Y,语言表!$F296+4,INDEX($F$1:$L$1,1,$G296+1))</f>
        <v>多谢阁下，您真是人类未来的希望。</v>
      </c>
      <c r="F296">
        <f t="shared" si="8"/>
        <v>133</v>
      </c>
      <c r="G296">
        <f t="shared" si="9"/>
        <v>1</v>
      </c>
    </row>
    <row r="297" spans="1:7" x14ac:dyDescent="0.15">
      <c r="A297" t="str">
        <f>INDEX(最终表!$A:$Y,语言表!$F297+4,INDEX($F$2:$L$2,1,$G297+1))</f>
        <v>t_director_dialog_1102802</v>
      </c>
      <c r="B297" t="str">
        <f>INDEX(最终表!$A:$Y,语言表!$F297+4,INDEX($F$1:$L$1,1,$G297+1))</f>
        <v>阁下放心，我会守约的。</v>
      </c>
      <c r="F297">
        <f t="shared" si="8"/>
        <v>134</v>
      </c>
      <c r="G297">
        <f t="shared" si="9"/>
        <v>1</v>
      </c>
    </row>
    <row r="298" spans="1:7" x14ac:dyDescent="0.15">
      <c r="A298" t="str">
        <f>INDEX(最终表!$A:$Y,语言表!$F298+4,INDEX($F$2:$L$2,1,$G298+1))</f>
        <v>t_director_dialog_1102803</v>
      </c>
      <c r="B298" t="str">
        <f>INDEX(最终表!$A:$Y,语言表!$F298+4,INDEX($F$1:$L$1,1,$G298+1))</f>
        <v>神殿的圣子要去沃野沼泽，去进攻蜥蜴人的部落。</v>
      </c>
      <c r="F298">
        <f t="shared" si="8"/>
        <v>135</v>
      </c>
      <c r="G298">
        <f t="shared" si="9"/>
        <v>1</v>
      </c>
    </row>
    <row r="299" spans="1:7" x14ac:dyDescent="0.15">
      <c r="A299" t="str">
        <f>INDEX(最终表!$A:$Y,语言表!$F299+4,INDEX($F$2:$L$2,1,$G299+1))</f>
        <v>t_director_dialog_1102804</v>
      </c>
      <c r="B299" t="str">
        <f>INDEX(最终表!$A:$Y,语言表!$F299+4,INDEX($F$1:$L$1,1,$G299+1))</f>
        <v>士兵被征召，如果成功就永远归属神殿了。到时候，神殿就更势大了。</v>
      </c>
      <c r="F299">
        <f t="shared" si="8"/>
        <v>136</v>
      </c>
      <c r="G299">
        <f t="shared" si="9"/>
        <v>1</v>
      </c>
    </row>
    <row r="300" spans="1:7" x14ac:dyDescent="0.15">
      <c r="A300" t="str">
        <f>INDEX(最终表!$A:$Y,语言表!$F300+4,INDEX($F$2:$L$2,1,$G300+1))</f>
        <v>t_director_dialog_1102805</v>
      </c>
      <c r="B300" t="str">
        <f>INDEX(最终表!$A:$Y,语言表!$F300+4,INDEX($F$1:$L$1,1,$G300+1))</f>
        <v>冒险者阁下，我先回城了。再见。</v>
      </c>
      <c r="F300">
        <f t="shared" si="8"/>
        <v>137</v>
      </c>
      <c r="G300">
        <f t="shared" si="9"/>
        <v>1</v>
      </c>
    </row>
    <row r="301" spans="1:7" x14ac:dyDescent="0.15">
      <c r="A301" t="str">
        <f>INDEX(最终表!$A:$Y,语言表!$F301+4,INDEX($F$2:$L$2,1,$G301+1))</f>
        <v>t_director_dialog_1102900</v>
      </c>
      <c r="B301" t="str">
        <f>INDEX(最终表!$A:$Y,语言表!$F301+4,INDEX($F$1:$L$1,1,$G301+1))</f>
        <v>又见面了，冒险者。</v>
      </c>
      <c r="F301">
        <f t="shared" si="8"/>
        <v>138</v>
      </c>
      <c r="G301">
        <f t="shared" si="9"/>
        <v>1</v>
      </c>
    </row>
    <row r="302" spans="1:7" x14ac:dyDescent="0.15">
      <c r="A302" t="str">
        <f>INDEX(最终表!$A:$Y,语言表!$F302+4,INDEX($F$2:$L$2,1,$G302+1))</f>
        <v>t_director_dialog_1102901</v>
      </c>
      <c r="B302" t="str">
        <f>INDEX(最终表!$A:$Y,语言表!$F302+4,INDEX($F$1:$L$1,1,$G302+1))</f>
        <v>嘿嘿，阁下，我哥布林先知的宝玉是好东西啊，阁下能帮我猎取到吗？</v>
      </c>
      <c r="F302">
        <f t="shared" si="8"/>
        <v>139</v>
      </c>
      <c r="G302">
        <f t="shared" si="9"/>
        <v>1</v>
      </c>
    </row>
    <row r="303" spans="1:7" x14ac:dyDescent="0.15">
      <c r="A303" t="str">
        <f>INDEX(最终表!$A:$Y,语言表!$F303+4,INDEX($F$2:$L$2,1,$G303+1))</f>
        <v>t_director_dialog_1103000</v>
      </c>
      <c r="B303" t="str">
        <f>INDEX(最终表!$A:$Y,语言表!$F303+4,INDEX($F$1:$L$1,1,$G303+1))</f>
        <v>阁下，你猎取到宝玉没？</v>
      </c>
      <c r="F303">
        <f t="shared" si="8"/>
        <v>140</v>
      </c>
      <c r="G303">
        <f t="shared" si="9"/>
        <v>1</v>
      </c>
    </row>
    <row r="304" spans="1:7" x14ac:dyDescent="0.15">
      <c r="A304" t="str">
        <f>INDEX(最终表!$A:$Y,语言表!$F304+4,INDEX($F$2:$L$2,1,$G304+1))</f>
        <v>t_director_dialog_1103001</v>
      </c>
      <c r="B304" t="str">
        <f>INDEX(最终表!$A:$Y,语言表!$F304+4,INDEX($F$1:$L$1,1,$G304+1))</f>
        <v>阁下真是强大</v>
      </c>
      <c r="F304">
        <f t="shared" si="8"/>
        <v>141</v>
      </c>
      <c r="G304">
        <f t="shared" si="9"/>
        <v>1</v>
      </c>
    </row>
    <row r="305" spans="1:7" x14ac:dyDescent="0.15">
      <c r="A305" t="str">
        <f>INDEX(最终表!$A:$Y,语言表!$F305+4,INDEX($F$2:$L$2,1,$G305+1))</f>
        <v>t_director_dialog_1103002</v>
      </c>
      <c r="B305" t="str">
        <f>INDEX(最终表!$A:$Y,语言表!$F305+4,INDEX($F$1:$L$1,1,$G305+1))</f>
        <v>阁下，我新接到的任务是：等待援军，肃清哥布林，任务时限马上就到，可是援军迟迟不到。</v>
      </c>
      <c r="F305">
        <f t="shared" si="8"/>
        <v>142</v>
      </c>
      <c r="G305">
        <f t="shared" si="9"/>
        <v>1</v>
      </c>
    </row>
    <row r="306" spans="1:7" x14ac:dyDescent="0.15">
      <c r="A306" t="str">
        <f>INDEX(最终表!$A:$Y,语言表!$F306+4,INDEX($F$2:$L$2,1,$G306+1))</f>
        <v>t_director_dialog_1103003</v>
      </c>
      <c r="B306" t="str">
        <f>INDEX(最终表!$A:$Y,语言表!$F306+4,INDEX($F$1:$L$1,1,$G306+1))</f>
        <v>所以，阁下能帮我讨伐这里的哥布林战士吗？</v>
      </c>
      <c r="F306">
        <f t="shared" si="8"/>
        <v>143</v>
      </c>
      <c r="G306">
        <f t="shared" si="9"/>
        <v>1</v>
      </c>
    </row>
    <row r="307" spans="1:7" x14ac:dyDescent="0.15">
      <c r="A307" t="str">
        <f>INDEX(最终表!$A:$Y,语言表!$F307+4,INDEX($F$2:$L$2,1,$G307+1))</f>
        <v>t_director_dialog_1103100</v>
      </c>
      <c r="B307" t="str">
        <f>INDEX(最终表!$A:$Y,语言表!$F307+4,INDEX($F$1:$L$1,1,$G307+1))</f>
        <v>阁下，真是迅速啊！</v>
      </c>
      <c r="F307">
        <f t="shared" si="8"/>
        <v>144</v>
      </c>
      <c r="G307">
        <f t="shared" si="9"/>
        <v>1</v>
      </c>
    </row>
    <row r="308" spans="1:7" x14ac:dyDescent="0.15">
      <c r="A308" t="str">
        <f>INDEX(最终表!$A:$Y,语言表!$F308+4,INDEX($F$2:$L$2,1,$G308+1))</f>
        <v>t_director_dialog_1103101</v>
      </c>
      <c r="B308" t="str">
        <f>INDEX(最终表!$A:$Y,语言表!$F308+4,INDEX($F$1:$L$1,1,$G308+1))</f>
        <v>阁下，接下来能帮我讨伐哥布林法师，获得他们的破碎的魔法结晶，我好交差。</v>
      </c>
      <c r="F308">
        <f t="shared" si="8"/>
        <v>145</v>
      </c>
      <c r="G308">
        <f t="shared" si="9"/>
        <v>1</v>
      </c>
    </row>
    <row r="309" spans="1:7" x14ac:dyDescent="0.15">
      <c r="A309" t="str">
        <f>INDEX(最终表!$A:$Y,语言表!$F309+4,INDEX($F$2:$L$2,1,$G309+1))</f>
        <v>t_director_dialog_1103200</v>
      </c>
      <c r="B309" t="str">
        <f>INDEX(最终表!$A:$Y,语言表!$F309+4,INDEX($F$1:$L$1,1,$G309+1))</f>
        <v>阁下，你收集了破碎的魔法结晶吗？</v>
      </c>
      <c r="F309">
        <f t="shared" si="8"/>
        <v>146</v>
      </c>
      <c r="G309">
        <f t="shared" si="9"/>
        <v>1</v>
      </c>
    </row>
    <row r="310" spans="1:7" x14ac:dyDescent="0.15">
      <c r="A310" t="str">
        <f>INDEX(最终表!$A:$Y,语言表!$F310+4,INDEX($F$2:$L$2,1,$G310+1))</f>
        <v>t_director_dialog_1103201</v>
      </c>
      <c r="B310" t="str">
        <f>INDEX(最终表!$A:$Y,语言表!$F310+4,INDEX($F$1:$L$1,1,$G310+1))</f>
        <v>多谢阁下相助，不然我就被军法处置了。</v>
      </c>
      <c r="F310">
        <f t="shared" si="8"/>
        <v>147</v>
      </c>
      <c r="G310">
        <f t="shared" si="9"/>
        <v>1</v>
      </c>
    </row>
    <row r="311" spans="1:7" x14ac:dyDescent="0.15">
      <c r="A311" t="str">
        <f>INDEX(最终表!$A:$Y,语言表!$F311+4,INDEX($F$2:$L$2,1,$G311+1))</f>
        <v>t_director_dialog_1200100</v>
      </c>
      <c r="B311" t="str">
        <f>INDEX(最终表!$A:$Y,语言表!$F311+4,INDEX($F$1:$L$1,1,$G311+1))</f>
        <v>嗷唔！嗷唔！嗷唔！！（要战斗吗？战斗吗？战斗吗？）</v>
      </c>
      <c r="F311">
        <f t="shared" si="8"/>
        <v>148</v>
      </c>
      <c r="G311">
        <f t="shared" si="9"/>
        <v>1</v>
      </c>
    </row>
    <row r="312" spans="1:7" x14ac:dyDescent="0.15">
      <c r="A312" t="str">
        <f>INDEX(最终表!$A:$Y,语言表!$F312+4,INDEX($F$2:$L$2,1,$G312+1))</f>
        <v>t_director_dialog_1200200</v>
      </c>
      <c r="B312" t="str">
        <f>INDEX(最终表!$A:$Y,语言表!$F312+4,INDEX($F$1:$L$1,1,$G312+1))</f>
        <v>猎物，你要和我战斗吗？</v>
      </c>
      <c r="F312">
        <f t="shared" si="8"/>
        <v>149</v>
      </c>
      <c r="G312">
        <f t="shared" si="9"/>
        <v>1</v>
      </c>
    </row>
    <row r="313" spans="1:7" x14ac:dyDescent="0.15">
      <c r="A313" t="str">
        <f>INDEX(最终表!$A:$Y,语言表!$F313+4,INDEX($F$2:$L$2,1,$G313+1))</f>
        <v>t_director_dialog_1200300</v>
      </c>
      <c r="B313" t="str">
        <f>INDEX(最终表!$A:$Y,语言表!$F313+4,INDEX($F$1:$L$1,1,$G313+1))</f>
        <v>比咯比咯比咯比！（你要我战斗吗？人类。）</v>
      </c>
      <c r="F313">
        <f t="shared" si="8"/>
        <v>150</v>
      </c>
      <c r="G313">
        <f t="shared" si="9"/>
        <v>1</v>
      </c>
    </row>
    <row r="314" spans="1:7" x14ac:dyDescent="0.15">
      <c r="A314" t="str">
        <f>INDEX(最终表!$A:$Y,语言表!$F314+4,INDEX($F$2:$L$2,1,$G314+1))</f>
        <v>t_director_dialog_1200400</v>
      </c>
      <c r="B314" t="str">
        <f>INDEX(最终表!$A:$Y,语言表!$F314+4,INDEX($F$1:$L$1,1,$G314+1))</f>
        <v>比咯比咯比！（人类，你是来和我战斗的？）</v>
      </c>
      <c r="F314">
        <f t="shared" si="8"/>
        <v>151</v>
      </c>
      <c r="G314">
        <f t="shared" si="9"/>
        <v>1</v>
      </c>
    </row>
    <row r="315" spans="1:7" x14ac:dyDescent="0.15">
      <c r="A315" t="str">
        <f>INDEX(最终表!$A:$Y,语言表!$F315+4,INDEX($F$2:$L$2,1,$G315+1))</f>
        <v>t_director_dialog_2000000</v>
      </c>
      <c r="B315" t="str">
        <f>INDEX(最终表!$A:$Y,语言表!$F315+4,INDEX($F$1:$L$1,1,$G315+1))</f>
        <v>永远不要勉强自己啊！</v>
      </c>
      <c r="F315">
        <f t="shared" si="8"/>
        <v>152</v>
      </c>
      <c r="G315">
        <f t="shared" si="9"/>
        <v>1</v>
      </c>
    </row>
    <row r="316" spans="1:7" x14ac:dyDescent="0.15">
      <c r="A316" t="str">
        <f>INDEX(最终表!$A:$Y,语言表!$F316+4,INDEX($F$2:$L$2,1,$G316+1))</f>
        <v>t_director_dialog_2000001</v>
      </c>
      <c r="B316" t="str">
        <f>INDEX(最终表!$A:$Y,语言表!$F316+4,INDEX($F$1:$L$1,1,$G316+1))</f>
        <v>继续去冒险吧！</v>
      </c>
      <c r="F316">
        <f t="shared" si="8"/>
        <v>153</v>
      </c>
      <c r="G316">
        <f t="shared" si="9"/>
        <v>1</v>
      </c>
    </row>
    <row r="317" spans="1:7" x14ac:dyDescent="0.15">
      <c r="A317" t="str">
        <f>INDEX(最终表!$A:$Y,语言表!$F317+4,INDEX($F$2:$L$2,1,$G317+1))</f>
        <v>t_director_dialog_2000002</v>
      </c>
      <c r="B317" t="str">
        <f>INDEX(最终表!$A:$Y,语言表!$F317+4,INDEX($F$1:$L$1,1,$G317+1))</f>
        <v>城里的孩子都等着物资呢。</v>
      </c>
      <c r="F317">
        <f t="shared" si="8"/>
        <v>154</v>
      </c>
      <c r="G317">
        <f t="shared" si="9"/>
        <v>1</v>
      </c>
    </row>
    <row r="318" spans="1:7" x14ac:dyDescent="0.15">
      <c r="A318" t="str">
        <f>INDEX(最终表!$A:$Y,语言表!$F318+4,INDEX($F$2:$L$2,1,$G318+1))</f>
        <v>t_director_dialog_2000003</v>
      </c>
      <c r="B318" t="str">
        <f>INDEX(最终表!$A:$Y,语言表!$F318+4,INDEX($F$1:$L$1,1,$G318+1))</f>
        <v>真不知道神殿的高层整天在吵什么！</v>
      </c>
      <c r="F318">
        <f t="shared" si="8"/>
        <v>155</v>
      </c>
      <c r="G318">
        <f t="shared" si="9"/>
        <v>1</v>
      </c>
    </row>
    <row r="319" spans="1:7" x14ac:dyDescent="0.15">
      <c r="A319" t="str">
        <f>INDEX(最终表!$A:$Y,语言表!$F319+4,INDEX($F$2:$L$2,1,$G319+1))</f>
        <v>t_director_dialog_2000004</v>
      </c>
      <c r="B319" t="str">
        <f>INDEX(最终表!$A:$Y,语言表!$F319+4,INDEX($F$1:$L$1,1,$G319+1))</f>
        <v>好想快点回到罗斯身边。</v>
      </c>
      <c r="F319">
        <f t="shared" si="8"/>
        <v>156</v>
      </c>
      <c r="G319">
        <f t="shared" si="9"/>
        <v>1</v>
      </c>
    </row>
    <row r="320" spans="1:7" x14ac:dyDescent="0.15">
      <c r="A320" t="str">
        <f>INDEX(最终表!$A:$Y,语言表!$F320+4,INDEX($F$2:$L$2,1,$G320+1))</f>
        <v>t_director_dialog_2000005</v>
      </c>
      <c r="B320" t="str">
        <f>INDEX(最终表!$A:$Y,语言表!$F320+4,INDEX($F$1:$L$1,1,$G320+1))</f>
        <v>神殿的讨厌鬼总是给人添麻烦。</v>
      </c>
      <c r="F320">
        <f t="shared" si="8"/>
        <v>157</v>
      </c>
      <c r="G320">
        <f t="shared" si="9"/>
        <v>1</v>
      </c>
    </row>
    <row r="321" spans="1:7" x14ac:dyDescent="0.15">
      <c r="A321" t="str">
        <f>INDEX(最终表!$A:$Y,语言表!$F321+4,INDEX($F$2:$L$2,1,$G321+1))</f>
        <v>t_director_dialog_2000006</v>
      </c>
      <c r="B321" t="str">
        <f>INDEX(最终表!$A:$Y,语言表!$F321+4,INDEX($F$1:$L$1,1,$G321+1))</f>
        <v>冒险者，快离开这里，这里很危险。</v>
      </c>
      <c r="F321">
        <f t="shared" si="8"/>
        <v>158</v>
      </c>
      <c r="G321">
        <f t="shared" si="9"/>
        <v>1</v>
      </c>
    </row>
    <row r="322" spans="1:7" x14ac:dyDescent="0.15">
      <c r="A322" t="str">
        <f>INDEX(最终表!$A:$Y,语言表!$F322+4,INDEX($F$2:$L$2,1,$G322+1))</f>
        <v>t_director_option0_1100100</v>
      </c>
      <c r="B322" t="str">
        <f>INDEX(最终表!$A:$Y,语言表!$F322+4,INDEX($F$1:$L$1,1,$G322+1))</f>
        <v>你来的好早啊！缇娜</v>
      </c>
      <c r="F322">
        <f t="shared" si="8"/>
        <v>0</v>
      </c>
      <c r="G322">
        <f t="shared" si="9"/>
        <v>2</v>
      </c>
    </row>
    <row r="323" spans="1:7" x14ac:dyDescent="0.15">
      <c r="A323" t="str">
        <f>INDEX(最终表!$A:$Y,语言表!$F323+4,INDEX($F$2:$L$2,1,$G323+1))</f>
        <v>t_director_option0_1100101</v>
      </c>
      <c r="B323" t="str">
        <f>INDEX(最终表!$A:$Y,语言表!$F323+4,INDEX($F$1:$L$1,1,$G323+1))</f>
        <v>麻烦的事情开始了</v>
      </c>
      <c r="F323">
        <f t="shared" si="8"/>
        <v>1</v>
      </c>
      <c r="G323">
        <f t="shared" si="9"/>
        <v>2</v>
      </c>
    </row>
    <row r="324" spans="1:7" x14ac:dyDescent="0.15">
      <c r="A324" t="str">
        <f>INDEX(最终表!$A:$Y,语言表!$F324+4,INDEX($F$2:$L$2,1,$G324+1))</f>
        <v>t_director_option0_1100102</v>
      </c>
      <c r="B324" t="str">
        <f>INDEX(最终表!$A:$Y,语言表!$F324+4,INDEX($F$1:$L$1,1,$G324+1))</f>
        <v>好的</v>
      </c>
      <c r="F324">
        <f t="shared" si="8"/>
        <v>2</v>
      </c>
      <c r="G324">
        <f t="shared" si="9"/>
        <v>2</v>
      </c>
    </row>
    <row r="325" spans="1:7" x14ac:dyDescent="0.15">
      <c r="A325" t="str">
        <f>INDEX(最终表!$A:$Y,语言表!$F325+4,INDEX($F$2:$L$2,1,$G325+1))</f>
        <v>t_director_option0_1100200</v>
      </c>
      <c r="B325" t="str">
        <f>INDEX(最终表!$A:$Y,语言表!$F325+4,INDEX($F$1:$L$1,1,$G325+1))</f>
        <v>…</v>
      </c>
      <c r="F325">
        <f t="shared" ref="F325:F388" si="10">MOD(ROW()-4,$N$1-3)</f>
        <v>3</v>
      </c>
      <c r="G325">
        <f t="shared" ref="G325:G388" si="11">INT((ROW()-4)/($N$1-3))</f>
        <v>2</v>
      </c>
    </row>
    <row r="326" spans="1:7" x14ac:dyDescent="0.15">
      <c r="A326" t="str">
        <f>INDEX(最终表!$A:$Y,语言表!$F326+4,INDEX($F$2:$L$2,1,$G326+1))</f>
        <v>t_director_option0_1100201</v>
      </c>
      <c r="B326" t="str">
        <f>INDEX(最终表!$A:$Y,语言表!$F326+4,INDEX($F$1:$L$1,1,$G326+1))</f>
        <v>…</v>
      </c>
      <c r="F326">
        <f t="shared" si="10"/>
        <v>4</v>
      </c>
      <c r="G326">
        <f t="shared" si="11"/>
        <v>2</v>
      </c>
    </row>
    <row r="327" spans="1:7" x14ac:dyDescent="0.15">
      <c r="A327" t="str">
        <f>INDEX(最终表!$A:$Y,语言表!$F327+4,INDEX($F$2:$L$2,1,$G327+1))</f>
        <v>t_director_option0_1100202</v>
      </c>
      <c r="B327" t="str">
        <f>INDEX(最终表!$A:$Y,语言表!$F327+4,INDEX($F$1:$L$1,1,$G327+1))</f>
        <v>好的</v>
      </c>
      <c r="F327">
        <f t="shared" si="10"/>
        <v>5</v>
      </c>
      <c r="G327">
        <f t="shared" si="11"/>
        <v>2</v>
      </c>
    </row>
    <row r="328" spans="1:7" x14ac:dyDescent="0.15">
      <c r="A328" t="str">
        <f>INDEX(最终表!$A:$Y,语言表!$F328+4,INDEX($F$2:$L$2,1,$G328+1))</f>
        <v>t_director_option0_1100203</v>
      </c>
      <c r="B328" t="str">
        <f>INDEX(最终表!$A:$Y,语言表!$F328+4,INDEX($F$1:$L$1,1,$G328+1))</f>
        <v>好的</v>
      </c>
      <c r="F328">
        <f t="shared" si="10"/>
        <v>6</v>
      </c>
      <c r="G328">
        <f t="shared" si="11"/>
        <v>2</v>
      </c>
    </row>
    <row r="329" spans="1:7" x14ac:dyDescent="0.15">
      <c r="A329" t="str">
        <f>INDEX(最终表!$A:$Y,语言表!$F329+4,INDEX($F$2:$L$2,1,$G329+1))</f>
        <v>t_director_option0_1100300</v>
      </c>
      <c r="B329" t="str">
        <f>INDEX(最终表!$A:$Y,语言表!$F329+4,INDEX($F$1:$L$1,1,$G329+1))</f>
        <v>…</v>
      </c>
      <c r="F329">
        <f t="shared" si="10"/>
        <v>7</v>
      </c>
      <c r="G329">
        <f t="shared" si="11"/>
        <v>2</v>
      </c>
    </row>
    <row r="330" spans="1:7" x14ac:dyDescent="0.15">
      <c r="A330" t="str">
        <f>INDEX(最终表!$A:$Y,语言表!$F330+4,INDEX($F$2:$L$2,1,$G330+1))</f>
        <v>t_director_option0_1100301</v>
      </c>
      <c r="B330" t="str">
        <f>INDEX(最终表!$A:$Y,语言表!$F330+4,INDEX($F$1:$L$1,1,$G330+1))</f>
        <v>好的</v>
      </c>
      <c r="F330">
        <f t="shared" si="10"/>
        <v>8</v>
      </c>
      <c r="G330">
        <f t="shared" si="11"/>
        <v>2</v>
      </c>
    </row>
    <row r="331" spans="1:7" x14ac:dyDescent="0.15">
      <c r="A331" t="str">
        <f>INDEX(最终表!$A:$Y,语言表!$F331+4,INDEX($F$2:$L$2,1,$G331+1))</f>
        <v>t_director_option0_1100400</v>
      </c>
      <c r="B331" t="str">
        <f>INDEX(最终表!$A:$Y,语言表!$F331+4,INDEX($F$1:$L$1,1,$G331+1))</f>
        <v>伊迪丝说你可能需要帮助</v>
      </c>
      <c r="F331">
        <f t="shared" si="10"/>
        <v>9</v>
      </c>
      <c r="G331">
        <f t="shared" si="11"/>
        <v>2</v>
      </c>
    </row>
    <row r="332" spans="1:7" x14ac:dyDescent="0.15">
      <c r="A332" t="str">
        <f>INDEX(最终表!$A:$Y,语言表!$F332+4,INDEX($F$2:$L$2,1,$G332+1))</f>
        <v>t_director_option0_1100401</v>
      </c>
      <c r="B332" t="str">
        <f>INDEX(最终表!$A:$Y,语言表!$F332+4,INDEX($F$1:$L$1,1,$G332+1))</f>
        <v>好的</v>
      </c>
      <c r="F332">
        <f t="shared" si="10"/>
        <v>10</v>
      </c>
      <c r="G332">
        <f t="shared" si="11"/>
        <v>2</v>
      </c>
    </row>
    <row r="333" spans="1:7" x14ac:dyDescent="0.15">
      <c r="A333" t="str">
        <f>INDEX(最终表!$A:$Y,语言表!$F333+4,INDEX($F$2:$L$2,1,$G333+1))</f>
        <v>t_director_option0_1100450</v>
      </c>
      <c r="B333" t="str">
        <f>INDEX(最终表!$A:$Y,语言表!$F333+4,INDEX($F$1:$L$1,1,$G333+1))</f>
        <v>不客气</v>
      </c>
      <c r="F333">
        <f t="shared" si="10"/>
        <v>11</v>
      </c>
      <c r="G333">
        <f t="shared" si="11"/>
        <v>2</v>
      </c>
    </row>
    <row r="334" spans="1:7" x14ac:dyDescent="0.15">
      <c r="A334" t="str">
        <f>INDEX(最终表!$A:$Y,语言表!$F334+4,INDEX($F$2:$L$2,1,$G334+1))</f>
        <v>t_director_option0_1100451</v>
      </c>
      <c r="B334" t="str">
        <f>INDEX(最终表!$A:$Y,语言表!$F334+4,INDEX($F$1:$L$1,1,$G334+1))</f>
        <v>好的</v>
      </c>
      <c r="F334">
        <f t="shared" si="10"/>
        <v>12</v>
      </c>
      <c r="G334">
        <f t="shared" si="11"/>
        <v>2</v>
      </c>
    </row>
    <row r="335" spans="1:7" x14ac:dyDescent="0.15">
      <c r="A335" t="str">
        <f>INDEX(最终表!$A:$Y,语言表!$F335+4,INDEX($F$2:$L$2,1,$G335+1))</f>
        <v>t_director_option0_1100480</v>
      </c>
      <c r="B335" t="str">
        <f>INDEX(最终表!$A:$Y,语言表!$F335+4,INDEX($F$1:$L$1,1,$G335+1))</f>
        <v>已经讨伐好了</v>
      </c>
      <c r="F335">
        <f t="shared" si="10"/>
        <v>13</v>
      </c>
      <c r="G335">
        <f t="shared" si="11"/>
        <v>2</v>
      </c>
    </row>
    <row r="336" spans="1:7" x14ac:dyDescent="0.15">
      <c r="A336" t="str">
        <f>INDEX(最终表!$A:$Y,语言表!$F336+4,INDEX($F$2:$L$2,1,$G336+1))</f>
        <v>t_director_option0_1100481</v>
      </c>
      <c r="B336" t="str">
        <f>INDEX(最终表!$A:$Y,语言表!$F336+4,INDEX($F$1:$L$1,1,$G336+1))</f>
        <v>好的</v>
      </c>
      <c r="F336">
        <f t="shared" si="10"/>
        <v>14</v>
      </c>
      <c r="G336">
        <f t="shared" si="11"/>
        <v>2</v>
      </c>
    </row>
    <row r="337" spans="1:7" x14ac:dyDescent="0.15">
      <c r="A337" t="str">
        <f>INDEX(最终表!$A:$Y,语言表!$F337+4,INDEX($F$2:$L$2,1,$G337+1))</f>
        <v>t_director_option0_1100500</v>
      </c>
      <c r="B337" t="str">
        <f>INDEX(最终表!$A:$Y,语言表!$F337+4,INDEX($F$1:$L$1,1,$G337+1))</f>
        <v>她已经准备回城了</v>
      </c>
      <c r="F337">
        <f t="shared" si="10"/>
        <v>15</v>
      </c>
      <c r="G337">
        <f t="shared" si="11"/>
        <v>2</v>
      </c>
    </row>
    <row r="338" spans="1:7" x14ac:dyDescent="0.15">
      <c r="A338" t="str">
        <f>INDEX(最终表!$A:$Y,语言表!$F338+4,INDEX($F$2:$L$2,1,$G338+1))</f>
        <v>t_director_option0_1100501</v>
      </c>
      <c r="B338" t="str">
        <f>INDEX(最终表!$A:$Y,语言表!$F338+4,INDEX($F$1:$L$1,1,$G338+1))</f>
        <v>好的</v>
      </c>
      <c r="F338">
        <f t="shared" si="10"/>
        <v>16</v>
      </c>
      <c r="G338">
        <f t="shared" si="11"/>
        <v>2</v>
      </c>
    </row>
    <row r="339" spans="1:7" x14ac:dyDescent="0.15">
      <c r="A339" t="str">
        <f>INDEX(最终表!$A:$Y,语言表!$F339+4,INDEX($F$2:$L$2,1,$G339+1))</f>
        <v>t_director_option0_1100550</v>
      </c>
      <c r="B339" t="str">
        <f>INDEX(最终表!$A:$Y,语言表!$F339+4,INDEX($F$1:$L$1,1,$G339+1))</f>
        <v>是的</v>
      </c>
      <c r="F339">
        <f t="shared" si="10"/>
        <v>17</v>
      </c>
      <c r="G339">
        <f t="shared" si="11"/>
        <v>2</v>
      </c>
    </row>
    <row r="340" spans="1:7" x14ac:dyDescent="0.15">
      <c r="A340" t="str">
        <f>INDEX(最终表!$A:$Y,语言表!$F340+4,INDEX($F$2:$L$2,1,$G340+1))</f>
        <v>t_director_option0_1100551</v>
      </c>
      <c r="B340" t="str">
        <f>INDEX(最终表!$A:$Y,语言表!$F340+4,INDEX($F$1:$L$1,1,$G340+1))</f>
        <v>…</v>
      </c>
      <c r="F340">
        <f t="shared" si="10"/>
        <v>18</v>
      </c>
      <c r="G340">
        <f t="shared" si="11"/>
        <v>2</v>
      </c>
    </row>
    <row r="341" spans="1:7" x14ac:dyDescent="0.15">
      <c r="A341" t="str">
        <f>INDEX(最终表!$A:$Y,语言表!$F341+4,INDEX($F$2:$L$2,1,$G341+1))</f>
        <v>t_director_option0_1100552</v>
      </c>
      <c r="B341" t="str">
        <f>INDEX(最终表!$A:$Y,语言表!$F341+4,INDEX($F$1:$L$1,1,$G341+1))</f>
        <v>好的</v>
      </c>
      <c r="F341">
        <f t="shared" si="10"/>
        <v>19</v>
      </c>
      <c r="G341">
        <f t="shared" si="11"/>
        <v>2</v>
      </c>
    </row>
    <row r="342" spans="1:7" x14ac:dyDescent="0.15">
      <c r="A342" t="str">
        <f>INDEX(最终表!$A:$Y,语言表!$F342+4,INDEX($F$2:$L$2,1,$G342+1))</f>
        <v>t_director_option0_1100553</v>
      </c>
      <c r="B342" t="str">
        <f>INDEX(最终表!$A:$Y,语言表!$F342+4,INDEX($F$1:$L$1,1,$G342+1))</f>
        <v>好的</v>
      </c>
      <c r="F342">
        <f t="shared" si="10"/>
        <v>20</v>
      </c>
      <c r="G342">
        <f t="shared" si="11"/>
        <v>2</v>
      </c>
    </row>
    <row r="343" spans="1:7" x14ac:dyDescent="0.15">
      <c r="A343" t="str">
        <f>INDEX(最终表!$A:$Y,语言表!$F343+4,INDEX($F$2:$L$2,1,$G343+1))</f>
        <v>t_director_option0_1100580</v>
      </c>
      <c r="B343" t="str">
        <f>INDEX(最终表!$A:$Y,语言表!$F343+4,INDEX($F$1:$L$1,1,$G343+1))</f>
        <v>交纳物资</v>
      </c>
      <c r="F343">
        <f t="shared" si="10"/>
        <v>21</v>
      </c>
      <c r="G343">
        <f t="shared" si="11"/>
        <v>2</v>
      </c>
    </row>
    <row r="344" spans="1:7" x14ac:dyDescent="0.15">
      <c r="A344" t="str">
        <f>INDEX(最终表!$A:$Y,语言表!$F344+4,INDEX($F$2:$L$2,1,$G344+1))</f>
        <v>t_director_option0_1100581</v>
      </c>
      <c r="B344" t="str">
        <f>INDEX(最终表!$A:$Y,语言表!$F344+4,INDEX($F$1:$L$1,1,$G344+1))</f>
        <v/>
      </c>
      <c r="F344">
        <f t="shared" si="10"/>
        <v>22</v>
      </c>
      <c r="G344">
        <f t="shared" si="11"/>
        <v>2</v>
      </c>
    </row>
    <row r="345" spans="1:7" x14ac:dyDescent="0.15">
      <c r="A345" t="str">
        <f>INDEX(最终表!$A:$Y,语言表!$F345+4,INDEX($F$2:$L$2,1,$G345+1))</f>
        <v>t_director_option0_1100600</v>
      </c>
      <c r="B345" t="str">
        <f>INDEX(最终表!$A:$Y,语言表!$F345+4,INDEX($F$1:$L$1,1,$G345+1))</f>
        <v>汉森让我讨伐了巫婆</v>
      </c>
      <c r="F345">
        <f t="shared" si="10"/>
        <v>23</v>
      </c>
      <c r="G345">
        <f t="shared" si="11"/>
        <v>2</v>
      </c>
    </row>
    <row r="346" spans="1:7" x14ac:dyDescent="0.15">
      <c r="A346" t="str">
        <f>INDEX(最终表!$A:$Y,语言表!$F346+4,INDEX($F$2:$L$2,1,$G346+1))</f>
        <v>t_director_option0_1100601</v>
      </c>
      <c r="B346" t="str">
        <f>INDEX(最终表!$A:$Y,语言表!$F346+4,INDEX($F$1:$L$1,1,$G346+1))</f>
        <v>…</v>
      </c>
      <c r="F346">
        <f t="shared" si="10"/>
        <v>24</v>
      </c>
      <c r="G346">
        <f t="shared" si="11"/>
        <v>2</v>
      </c>
    </row>
    <row r="347" spans="1:7" x14ac:dyDescent="0.15">
      <c r="A347" t="str">
        <f>INDEX(最终表!$A:$Y,语言表!$F347+4,INDEX($F$2:$L$2,1,$G347+1))</f>
        <v>t_director_option0_1100602</v>
      </c>
      <c r="B347" t="str">
        <f>INDEX(最终表!$A:$Y,语言表!$F347+4,INDEX($F$1:$L$1,1,$G347+1))</f>
        <v>…</v>
      </c>
      <c r="F347">
        <f t="shared" si="10"/>
        <v>25</v>
      </c>
      <c r="G347">
        <f t="shared" si="11"/>
        <v>2</v>
      </c>
    </row>
    <row r="348" spans="1:7" x14ac:dyDescent="0.15">
      <c r="A348" t="str">
        <f>INDEX(最终表!$A:$Y,语言表!$F348+4,INDEX($F$2:$L$2,1,$G348+1))</f>
        <v>t_director_option0_1100603</v>
      </c>
      <c r="B348" t="str">
        <f>INDEX(最终表!$A:$Y,语言表!$F348+4,INDEX($F$1:$L$1,1,$G348+1))</f>
        <v>怎么打造？</v>
      </c>
      <c r="F348">
        <f t="shared" si="10"/>
        <v>26</v>
      </c>
      <c r="G348">
        <f t="shared" si="11"/>
        <v>2</v>
      </c>
    </row>
    <row r="349" spans="1:7" x14ac:dyDescent="0.15">
      <c r="A349" t="str">
        <f>INDEX(最终表!$A:$Y,语言表!$F349+4,INDEX($F$2:$L$2,1,$G349+1))</f>
        <v>t_director_option0_1100604</v>
      </c>
      <c r="B349" t="str">
        <f>INDEX(最终表!$A:$Y,语言表!$F349+4,INDEX($F$1:$L$1,1,$G349+1))</f>
        <v>好的</v>
      </c>
      <c r="F349">
        <f t="shared" si="10"/>
        <v>27</v>
      </c>
      <c r="G349">
        <f t="shared" si="11"/>
        <v>2</v>
      </c>
    </row>
    <row r="350" spans="1:7" x14ac:dyDescent="0.15">
      <c r="A350" t="str">
        <f>INDEX(最终表!$A:$Y,语言表!$F350+4,INDEX($F$2:$L$2,1,$G350+1))</f>
        <v>t_director_option0_1100700</v>
      </c>
      <c r="B350" t="str">
        <f>INDEX(最终表!$A:$Y,语言表!$F350+4,INDEX($F$1:$L$1,1,$G350+1))</f>
        <v>…</v>
      </c>
      <c r="F350">
        <f t="shared" si="10"/>
        <v>28</v>
      </c>
      <c r="G350">
        <f t="shared" si="11"/>
        <v>2</v>
      </c>
    </row>
    <row r="351" spans="1:7" x14ac:dyDescent="0.15">
      <c r="A351" t="str">
        <f>INDEX(最终表!$A:$Y,语言表!$F351+4,INDEX($F$2:$L$2,1,$G351+1))</f>
        <v>t_director_option0_1100701</v>
      </c>
      <c r="B351" t="str">
        <f>INDEX(最终表!$A:$Y,语言表!$F351+4,INDEX($F$1:$L$1,1,$G351+1))</f>
        <v>…</v>
      </c>
      <c r="F351">
        <f t="shared" si="10"/>
        <v>29</v>
      </c>
      <c r="G351">
        <f t="shared" si="11"/>
        <v>2</v>
      </c>
    </row>
    <row r="352" spans="1:7" x14ac:dyDescent="0.15">
      <c r="A352" t="str">
        <f>INDEX(最终表!$A:$Y,语言表!$F352+4,INDEX($F$2:$L$2,1,$G352+1))</f>
        <v>t_director_option0_1100702</v>
      </c>
      <c r="B352" t="str">
        <f>INDEX(最终表!$A:$Y,语言表!$F352+4,INDEX($F$1:$L$1,1,$G352+1))</f>
        <v>好的</v>
      </c>
      <c r="F352">
        <f t="shared" si="10"/>
        <v>30</v>
      </c>
      <c r="G352">
        <f t="shared" si="11"/>
        <v>2</v>
      </c>
    </row>
    <row r="353" spans="1:7" x14ac:dyDescent="0.15">
      <c r="A353" t="str">
        <f>INDEX(最终表!$A:$Y,语言表!$F353+4,INDEX($F$2:$L$2,1,$G353+1))</f>
        <v>t_director_option0_1100800</v>
      </c>
      <c r="B353" t="str">
        <f>INDEX(最终表!$A:$Y,语言表!$F353+4,INDEX($F$1:$L$1,1,$G353+1))</f>
        <v>盗贼已被我击杀</v>
      </c>
      <c r="F353">
        <f t="shared" si="10"/>
        <v>31</v>
      </c>
      <c r="G353">
        <f t="shared" si="11"/>
        <v>2</v>
      </c>
    </row>
    <row r="354" spans="1:7" x14ac:dyDescent="0.15">
      <c r="A354" t="str">
        <f>INDEX(最终表!$A:$Y,语言表!$F354+4,INDEX($F$2:$L$2,1,$G354+1))</f>
        <v>t_director_option0_1100801</v>
      </c>
      <c r="B354" t="str">
        <f>INDEX(最终表!$A:$Y,语言表!$F354+4,INDEX($F$1:$L$1,1,$G354+1))</f>
        <v>…</v>
      </c>
      <c r="F354">
        <f t="shared" si="10"/>
        <v>32</v>
      </c>
      <c r="G354">
        <f t="shared" si="11"/>
        <v>2</v>
      </c>
    </row>
    <row r="355" spans="1:7" x14ac:dyDescent="0.15">
      <c r="A355" t="str">
        <f>INDEX(最终表!$A:$Y,语言表!$F355+4,INDEX($F$2:$L$2,1,$G355+1))</f>
        <v>t_director_option0_1100802</v>
      </c>
      <c r="B355" t="str">
        <f>INDEX(最终表!$A:$Y,语言表!$F355+4,INDEX($F$1:$L$1,1,$G355+1))</f>
        <v>…</v>
      </c>
      <c r="F355">
        <f t="shared" si="10"/>
        <v>33</v>
      </c>
      <c r="G355">
        <f t="shared" si="11"/>
        <v>2</v>
      </c>
    </row>
    <row r="356" spans="1:7" x14ac:dyDescent="0.15">
      <c r="A356" t="str">
        <f>INDEX(最终表!$A:$Y,语言表!$F356+4,INDEX($F$2:$L$2,1,$G356+1))</f>
        <v>t_director_option0_1100803</v>
      </c>
      <c r="B356" t="str">
        <f>INDEX(最终表!$A:$Y,语言表!$F356+4,INDEX($F$1:$L$1,1,$G356+1))</f>
        <v>…</v>
      </c>
      <c r="F356">
        <f t="shared" si="10"/>
        <v>34</v>
      </c>
      <c r="G356">
        <f t="shared" si="11"/>
        <v>2</v>
      </c>
    </row>
    <row r="357" spans="1:7" x14ac:dyDescent="0.15">
      <c r="A357" t="str">
        <f>INDEX(最终表!$A:$Y,语言表!$F357+4,INDEX($F$2:$L$2,1,$G357+1))</f>
        <v>t_director_option0_1100804</v>
      </c>
      <c r="B357" t="str">
        <f>INDEX(最终表!$A:$Y,语言表!$F357+4,INDEX($F$1:$L$1,1,$G357+1))</f>
        <v>好的</v>
      </c>
      <c r="F357">
        <f t="shared" si="10"/>
        <v>35</v>
      </c>
      <c r="G357">
        <f t="shared" si="11"/>
        <v>2</v>
      </c>
    </row>
    <row r="358" spans="1:7" x14ac:dyDescent="0.15">
      <c r="A358" t="str">
        <f>INDEX(最终表!$A:$Y,语言表!$F358+4,INDEX($F$2:$L$2,1,$G358+1))</f>
        <v>t_director_option0_1100805</v>
      </c>
      <c r="B358" t="str">
        <f>INDEX(最终表!$A:$Y,语言表!$F358+4,INDEX($F$1:$L$1,1,$G358+1))</f>
        <v>好吧</v>
      </c>
      <c r="F358">
        <f t="shared" si="10"/>
        <v>36</v>
      </c>
      <c r="G358">
        <f t="shared" si="11"/>
        <v>2</v>
      </c>
    </row>
    <row r="359" spans="1:7" x14ac:dyDescent="0.15">
      <c r="A359" t="str">
        <f>INDEX(最终表!$A:$Y,语言表!$F359+4,INDEX($F$2:$L$2,1,$G359+1))</f>
        <v>t_director_option0_1100900</v>
      </c>
      <c r="B359" t="str">
        <f>INDEX(最终表!$A:$Y,语言表!$F359+4,INDEX($F$1:$L$1,1,$G359+1))</f>
        <v>我是来完成笔试考核的，你是卡玛吗？</v>
      </c>
      <c r="F359">
        <f t="shared" si="10"/>
        <v>37</v>
      </c>
      <c r="G359">
        <f t="shared" si="11"/>
        <v>2</v>
      </c>
    </row>
    <row r="360" spans="1:7" x14ac:dyDescent="0.15">
      <c r="A360" t="str">
        <f>INDEX(最终表!$A:$Y,语言表!$F360+4,INDEX($F$2:$L$2,1,$G360+1))</f>
        <v>t_director_option0_1100901</v>
      </c>
      <c r="B360" t="str">
        <f>INDEX(最终表!$A:$Y,语言表!$F360+4,INDEX($F$1:$L$1,1,$G360+1))</f>
        <v>一般不用吗？</v>
      </c>
      <c r="F360">
        <f t="shared" si="10"/>
        <v>38</v>
      </c>
      <c r="G360">
        <f t="shared" si="11"/>
        <v>2</v>
      </c>
    </row>
    <row r="361" spans="1:7" x14ac:dyDescent="0.15">
      <c r="A361" t="str">
        <f>INDEX(最终表!$A:$Y,语言表!$F361+4,INDEX($F$2:$L$2,1,$G361+1))</f>
        <v>t_director_option0_1100902</v>
      </c>
      <c r="B361" t="str">
        <f>INDEX(最终表!$A:$Y,语言表!$F361+4,INDEX($F$1:$L$1,1,$G361+1))</f>
        <v>…</v>
      </c>
      <c r="F361">
        <f t="shared" si="10"/>
        <v>39</v>
      </c>
      <c r="G361">
        <f t="shared" si="11"/>
        <v>2</v>
      </c>
    </row>
    <row r="362" spans="1:7" x14ac:dyDescent="0.15">
      <c r="A362" t="str">
        <f>INDEX(最终表!$A:$Y,语言表!$F362+4,INDEX($F$2:$L$2,1,$G362+1))</f>
        <v>t_director_option0_1100903</v>
      </c>
      <c r="B362" t="str">
        <f>INDEX(最终表!$A:$Y,语言表!$F362+4,INDEX($F$1:$L$1,1,$G362+1))</f>
        <v>开始吧</v>
      </c>
      <c r="F362">
        <f t="shared" si="10"/>
        <v>40</v>
      </c>
      <c r="G362">
        <f t="shared" si="11"/>
        <v>2</v>
      </c>
    </row>
    <row r="363" spans="1:7" x14ac:dyDescent="0.15">
      <c r="A363" t="str">
        <f>INDEX(最终表!$A:$Y,语言表!$F363+4,INDEX($F$2:$L$2,1,$G363+1))</f>
        <v>t_director_option0_1100904</v>
      </c>
      <c r="B363" t="str">
        <f>INDEX(最终表!$A:$Y,语言表!$F363+4,INDEX($F$1:$L$1,1,$G363+1))</f>
        <v>是</v>
      </c>
      <c r="F363">
        <f t="shared" si="10"/>
        <v>41</v>
      </c>
      <c r="G363">
        <f t="shared" si="11"/>
        <v>2</v>
      </c>
    </row>
    <row r="364" spans="1:7" x14ac:dyDescent="0.15">
      <c r="A364" t="str">
        <f>INDEX(最终表!$A:$Y,语言表!$F364+4,INDEX($F$2:$L$2,1,$G364+1))</f>
        <v>t_director_option0_1100905</v>
      </c>
      <c r="B364" t="str">
        <f>INDEX(最终表!$A:$Y,语言表!$F364+4,INDEX($F$1:$L$1,1,$G364+1))</f>
        <v>好的</v>
      </c>
      <c r="F364">
        <f t="shared" si="10"/>
        <v>42</v>
      </c>
      <c r="G364">
        <f t="shared" si="11"/>
        <v>2</v>
      </c>
    </row>
    <row r="365" spans="1:7" x14ac:dyDescent="0.15">
      <c r="A365" t="str">
        <f>INDEX(最终表!$A:$Y,语言表!$F365+4,INDEX($F$2:$L$2,1,$G365+1))</f>
        <v>t_director_option0_1100906</v>
      </c>
      <c r="B365" t="str">
        <f>INDEX(最终表!$A:$Y,语言表!$F365+4,INDEX($F$1:$L$1,1,$G365+1))</f>
        <v>30分钟</v>
      </c>
      <c r="F365">
        <f t="shared" si="10"/>
        <v>43</v>
      </c>
      <c r="G365">
        <f t="shared" si="11"/>
        <v>2</v>
      </c>
    </row>
    <row r="366" spans="1:7" x14ac:dyDescent="0.15">
      <c r="A366" t="str">
        <f>INDEX(最终表!$A:$Y,语言表!$F366+4,INDEX($F$2:$L$2,1,$G366+1))</f>
        <v>t_director_option0_1100907</v>
      </c>
      <c r="B366" t="str">
        <f>INDEX(最终表!$A:$Y,语言表!$F366+4,INDEX($F$1:$L$1,1,$G366+1))</f>
        <v>3个</v>
      </c>
      <c r="F366">
        <f t="shared" si="10"/>
        <v>44</v>
      </c>
      <c r="G366">
        <f t="shared" si="11"/>
        <v>2</v>
      </c>
    </row>
    <row r="367" spans="1:7" x14ac:dyDescent="0.15">
      <c r="A367" t="str">
        <f>INDEX(最终表!$A:$Y,语言表!$F367+4,INDEX($F$2:$L$2,1,$G367+1))</f>
        <v>t_director_option0_1100908</v>
      </c>
      <c r="B367" t="str">
        <f>INDEX(最终表!$A:$Y,语言表!$F367+4,INDEX($F$1:$L$1,1,$G367+1))</f>
        <v>谢谢</v>
      </c>
      <c r="F367">
        <f t="shared" si="10"/>
        <v>45</v>
      </c>
      <c r="G367">
        <f t="shared" si="11"/>
        <v>2</v>
      </c>
    </row>
    <row r="368" spans="1:7" x14ac:dyDescent="0.15">
      <c r="A368" t="str">
        <f>INDEX(最终表!$A:$Y,语言表!$F368+4,INDEX($F$2:$L$2,1,$G368+1))</f>
        <v>t_director_option0_1100909</v>
      </c>
      <c r="B368" t="str">
        <f>INDEX(最终表!$A:$Y,语言表!$F368+4,INDEX($F$1:$L$1,1,$G368+1))</f>
        <v>好的</v>
      </c>
      <c r="F368">
        <f t="shared" si="10"/>
        <v>46</v>
      </c>
      <c r="G368">
        <f t="shared" si="11"/>
        <v>2</v>
      </c>
    </row>
    <row r="369" spans="1:7" x14ac:dyDescent="0.15">
      <c r="A369" t="str">
        <f>INDEX(最终表!$A:$Y,语言表!$F369+4,INDEX($F$2:$L$2,1,$G369+1))</f>
        <v>t_director_option0_1100910</v>
      </c>
      <c r="B369" t="str">
        <f>INDEX(最终表!$A:$Y,语言表!$F369+4,INDEX($F$1:$L$1,1,$G369+1))</f>
        <v>…</v>
      </c>
      <c r="F369">
        <f t="shared" si="10"/>
        <v>47</v>
      </c>
      <c r="G369">
        <f t="shared" si="11"/>
        <v>2</v>
      </c>
    </row>
    <row r="370" spans="1:7" x14ac:dyDescent="0.15">
      <c r="A370" t="str">
        <f>INDEX(最终表!$A:$Y,语言表!$F370+4,INDEX($F$2:$L$2,1,$G370+1))</f>
        <v>t_director_option0_1100911</v>
      </c>
      <c r="B370" t="str">
        <f>INDEX(最终表!$A:$Y,语言表!$F370+4,INDEX($F$1:$L$1,1,$G370+1))</f>
        <v>是的</v>
      </c>
      <c r="F370">
        <f t="shared" si="10"/>
        <v>48</v>
      </c>
      <c r="G370">
        <f t="shared" si="11"/>
        <v>2</v>
      </c>
    </row>
    <row r="371" spans="1:7" x14ac:dyDescent="0.15">
      <c r="A371" t="str">
        <f>INDEX(最终表!$A:$Y,语言表!$F371+4,INDEX($F$2:$L$2,1,$G371+1))</f>
        <v>t_director_option0_1100912</v>
      </c>
      <c r="B371" t="str">
        <f>INDEX(最终表!$A:$Y,语言表!$F371+4,INDEX($F$1:$L$1,1,$G371+1))</f>
        <v>…</v>
      </c>
      <c r="F371">
        <f t="shared" si="10"/>
        <v>49</v>
      </c>
      <c r="G371">
        <f t="shared" si="11"/>
        <v>2</v>
      </c>
    </row>
    <row r="372" spans="1:7" x14ac:dyDescent="0.15">
      <c r="A372" t="str">
        <f>INDEX(最终表!$A:$Y,语言表!$F372+4,INDEX($F$2:$L$2,1,$G372+1))</f>
        <v>t_director_option0_1101000</v>
      </c>
      <c r="B372" t="str">
        <f>INDEX(最终表!$A:$Y,语言表!$F372+4,INDEX($F$1:$L$1,1,$G372+1))</f>
        <v>谢谢</v>
      </c>
      <c r="F372">
        <f t="shared" si="10"/>
        <v>50</v>
      </c>
      <c r="G372">
        <f t="shared" si="11"/>
        <v>2</v>
      </c>
    </row>
    <row r="373" spans="1:7" x14ac:dyDescent="0.15">
      <c r="A373" t="str">
        <f>INDEX(最终表!$A:$Y,语言表!$F373+4,INDEX($F$2:$L$2,1,$G373+1))</f>
        <v>t_director_option0_1101001</v>
      </c>
      <c r="B373" t="str">
        <f>INDEX(最终表!$A:$Y,语言表!$F373+4,INDEX($F$1:$L$1,1,$G373+1))</f>
        <v>…</v>
      </c>
      <c r="F373">
        <f t="shared" si="10"/>
        <v>51</v>
      </c>
      <c r="G373">
        <f t="shared" si="11"/>
        <v>2</v>
      </c>
    </row>
    <row r="374" spans="1:7" x14ac:dyDescent="0.15">
      <c r="A374" t="str">
        <f>INDEX(最终表!$A:$Y,语言表!$F374+4,INDEX($F$2:$L$2,1,$G374+1))</f>
        <v>t_director_option0_1101002</v>
      </c>
      <c r="B374" t="str">
        <f>INDEX(最终表!$A:$Y,语言表!$F374+4,INDEX($F$1:$L$1,1,$G374+1))</f>
        <v>好的</v>
      </c>
      <c r="F374">
        <f t="shared" si="10"/>
        <v>52</v>
      </c>
      <c r="G374">
        <f t="shared" si="11"/>
        <v>2</v>
      </c>
    </row>
    <row r="375" spans="1:7" x14ac:dyDescent="0.15">
      <c r="A375" t="str">
        <f>INDEX(最终表!$A:$Y,语言表!$F375+4,INDEX($F$2:$L$2,1,$G375+1))</f>
        <v>t_director_option0_1101100</v>
      </c>
      <c r="B375" t="str">
        <f>INDEX(最终表!$A:$Y,语言表!$F375+4,INDEX($F$1:$L$1,1,$G375+1))</f>
        <v>交纳物品</v>
      </c>
      <c r="F375">
        <f t="shared" si="10"/>
        <v>53</v>
      </c>
      <c r="G375">
        <f t="shared" si="11"/>
        <v>2</v>
      </c>
    </row>
    <row r="376" spans="1:7" x14ac:dyDescent="0.15">
      <c r="A376" t="str">
        <f>INDEX(最终表!$A:$Y,语言表!$F376+4,INDEX($F$2:$L$2,1,$G376+1))</f>
        <v>t_director_option0_1101101</v>
      </c>
      <c r="B376" t="str">
        <f>INDEX(最终表!$A:$Y,语言表!$F376+4,INDEX($F$1:$L$1,1,$G376+1))</f>
        <v>我这就去</v>
      </c>
      <c r="F376">
        <f t="shared" si="10"/>
        <v>54</v>
      </c>
      <c r="G376">
        <f t="shared" si="11"/>
        <v>2</v>
      </c>
    </row>
    <row r="377" spans="1:7" x14ac:dyDescent="0.15">
      <c r="A377" t="str">
        <f>INDEX(最终表!$A:$Y,语言表!$F377+4,INDEX($F$2:$L$2,1,$G377+1))</f>
        <v>t_director_option0_1101110</v>
      </c>
      <c r="B377" t="str">
        <f>INDEX(最终表!$A:$Y,语言表!$F377+4,INDEX($F$1:$L$1,1,$G377+1))</f>
        <v>我战胜了他</v>
      </c>
      <c r="F377">
        <f t="shared" si="10"/>
        <v>55</v>
      </c>
      <c r="G377">
        <f t="shared" si="11"/>
        <v>2</v>
      </c>
    </row>
    <row r="378" spans="1:7" x14ac:dyDescent="0.15">
      <c r="A378" t="str">
        <f>INDEX(最终表!$A:$Y,语言表!$F378+4,INDEX($F$2:$L$2,1,$G378+1))</f>
        <v>t_director_option0_1101111</v>
      </c>
      <c r="B378" t="str">
        <f>INDEX(最终表!$A:$Y,语言表!$F378+4,INDEX($F$1:$L$1,1,$G378+1))</f>
        <v>…</v>
      </c>
      <c r="F378">
        <f t="shared" si="10"/>
        <v>56</v>
      </c>
      <c r="G378">
        <f t="shared" si="11"/>
        <v>2</v>
      </c>
    </row>
    <row r="379" spans="1:7" x14ac:dyDescent="0.15">
      <c r="A379" t="str">
        <f>INDEX(最终表!$A:$Y,语言表!$F379+4,INDEX($F$2:$L$2,1,$G379+1))</f>
        <v>t_director_option0_1101112</v>
      </c>
      <c r="B379" t="str">
        <f>INDEX(最终表!$A:$Y,语言表!$F379+4,INDEX($F$1:$L$1,1,$G379+1))</f>
        <v>好的</v>
      </c>
      <c r="F379">
        <f t="shared" si="10"/>
        <v>57</v>
      </c>
      <c r="G379">
        <f t="shared" si="11"/>
        <v>2</v>
      </c>
    </row>
    <row r="380" spans="1:7" x14ac:dyDescent="0.15">
      <c r="A380" t="str">
        <f>INDEX(最终表!$A:$Y,语言表!$F380+4,INDEX($F$2:$L$2,1,$G380+1))</f>
        <v>t_director_option0_1101150</v>
      </c>
      <c r="B380" t="str">
        <f>INDEX(最终表!$A:$Y,语言表!$F380+4,INDEX($F$1:$L$1,1,$G380+1))</f>
        <v>伊迪丝让我来的</v>
      </c>
      <c r="F380">
        <f t="shared" si="10"/>
        <v>58</v>
      </c>
      <c r="G380">
        <f t="shared" si="11"/>
        <v>2</v>
      </c>
    </row>
    <row r="381" spans="1:7" x14ac:dyDescent="0.15">
      <c r="A381" t="str">
        <f>INDEX(最终表!$A:$Y,语言表!$F381+4,INDEX($F$2:$L$2,1,$G381+1))</f>
        <v>t_director_option0_1101151</v>
      </c>
      <c r="B381" t="str">
        <f>INDEX(最终表!$A:$Y,语言表!$F381+4,INDEX($F$1:$L$1,1,$G381+1))</f>
        <v>…</v>
      </c>
      <c r="F381">
        <f t="shared" si="10"/>
        <v>59</v>
      </c>
      <c r="G381">
        <f t="shared" si="11"/>
        <v>2</v>
      </c>
    </row>
    <row r="382" spans="1:7" x14ac:dyDescent="0.15">
      <c r="A382" t="str">
        <f>INDEX(最终表!$A:$Y,语言表!$F382+4,INDEX($F$2:$L$2,1,$G382+1))</f>
        <v>t_director_option0_1101152</v>
      </c>
      <c r="B382" t="str">
        <f>INDEX(最终表!$A:$Y,语言表!$F382+4,INDEX($F$1:$L$1,1,$G382+1))</f>
        <v>…</v>
      </c>
      <c r="F382">
        <f t="shared" si="10"/>
        <v>60</v>
      </c>
      <c r="G382">
        <f t="shared" si="11"/>
        <v>2</v>
      </c>
    </row>
    <row r="383" spans="1:7" x14ac:dyDescent="0.15">
      <c r="A383" t="str">
        <f>INDEX(最终表!$A:$Y,语言表!$F383+4,INDEX($F$2:$L$2,1,$G383+1))</f>
        <v>t_director_option0_1101153</v>
      </c>
      <c r="B383" t="str">
        <f>INDEX(最终表!$A:$Y,语言表!$F383+4,INDEX($F$1:$L$1,1,$G383+1))</f>
        <v>好的</v>
      </c>
      <c r="F383">
        <f t="shared" si="10"/>
        <v>61</v>
      </c>
      <c r="G383">
        <f t="shared" si="11"/>
        <v>2</v>
      </c>
    </row>
    <row r="384" spans="1:7" x14ac:dyDescent="0.15">
      <c r="A384" t="str">
        <f>INDEX(最终表!$A:$Y,语言表!$F384+4,INDEX($F$2:$L$2,1,$G384+1))</f>
        <v>t_director_option0_1101154</v>
      </c>
      <c r="B384" t="str">
        <f>INDEX(最终表!$A:$Y,语言表!$F384+4,INDEX($F$1:$L$1,1,$G384+1))</f>
        <v>谢谢</v>
      </c>
      <c r="F384">
        <f t="shared" si="10"/>
        <v>62</v>
      </c>
      <c r="G384">
        <f t="shared" si="11"/>
        <v>2</v>
      </c>
    </row>
    <row r="385" spans="1:7" x14ac:dyDescent="0.15">
      <c r="A385" t="str">
        <f>INDEX(最终表!$A:$Y,语言表!$F385+4,INDEX($F$2:$L$2,1,$G385+1))</f>
        <v>t_director_option0_1101155</v>
      </c>
      <c r="B385" t="str">
        <f>INDEX(最终表!$A:$Y,语言表!$F385+4,INDEX($F$1:$L$1,1,$G385+1))</f>
        <v>…</v>
      </c>
      <c r="F385">
        <f t="shared" si="10"/>
        <v>63</v>
      </c>
      <c r="G385">
        <f t="shared" si="11"/>
        <v>2</v>
      </c>
    </row>
    <row r="386" spans="1:7" x14ac:dyDescent="0.15">
      <c r="A386" t="str">
        <f>INDEX(最终表!$A:$Y,语言表!$F386+4,INDEX($F$2:$L$2,1,$G386+1))</f>
        <v>t_director_option0_1101200</v>
      </c>
      <c r="B386" t="str">
        <f>INDEX(最终表!$A:$Y,语言表!$F386+4,INDEX($F$1:$L$1,1,$G386+1))</f>
        <v>已经讨伐了</v>
      </c>
      <c r="F386">
        <f t="shared" si="10"/>
        <v>64</v>
      </c>
      <c r="G386">
        <f t="shared" si="11"/>
        <v>2</v>
      </c>
    </row>
    <row r="387" spans="1:7" x14ac:dyDescent="0.15">
      <c r="A387" t="str">
        <f>INDEX(最终表!$A:$Y,语言表!$F387+4,INDEX($F$2:$L$2,1,$G387+1))</f>
        <v>t_director_option0_1101201</v>
      </c>
      <c r="B387" t="str">
        <f>INDEX(最终表!$A:$Y,语言表!$F387+4,INDEX($F$1:$L$1,1,$G387+1))</f>
        <v>你认识缇娜？</v>
      </c>
      <c r="F387">
        <f t="shared" si="10"/>
        <v>65</v>
      </c>
      <c r="G387">
        <f t="shared" si="11"/>
        <v>2</v>
      </c>
    </row>
    <row r="388" spans="1:7" x14ac:dyDescent="0.15">
      <c r="A388" t="str">
        <f>INDEX(最终表!$A:$Y,语言表!$F388+4,INDEX($F$2:$L$2,1,$G388+1))</f>
        <v>t_director_option0_1101202</v>
      </c>
      <c r="B388" t="str">
        <f>INDEX(最终表!$A:$Y,语言表!$F388+4,INDEX($F$1:$L$1,1,$G388+1))</f>
        <v>缇娜一向这么善良</v>
      </c>
      <c r="F388">
        <f t="shared" si="10"/>
        <v>66</v>
      </c>
      <c r="G388">
        <f t="shared" si="11"/>
        <v>2</v>
      </c>
    </row>
    <row r="389" spans="1:7" x14ac:dyDescent="0.15">
      <c r="A389" t="str">
        <f>INDEX(最终表!$A:$Y,语言表!$F389+4,INDEX($F$2:$L$2,1,$G389+1))</f>
        <v>t_director_option0_1101203</v>
      </c>
      <c r="B389" t="str">
        <f>INDEX(最终表!$A:$Y,语言表!$F389+4,INDEX($F$1:$L$1,1,$G389+1))</f>
        <v>…</v>
      </c>
      <c r="F389">
        <f t="shared" ref="F389:F452" si="12">MOD(ROW()-4,$N$1-3)</f>
        <v>67</v>
      </c>
      <c r="G389">
        <f t="shared" ref="G389:G452" si="13">INT((ROW()-4)/($N$1-3))</f>
        <v>2</v>
      </c>
    </row>
    <row r="390" spans="1:7" x14ac:dyDescent="0.15">
      <c r="A390" t="str">
        <f>INDEX(最终表!$A:$Y,语言表!$F390+4,INDEX($F$2:$L$2,1,$G390+1))</f>
        <v>t_director_option0_1101204</v>
      </c>
      <c r="B390" t="str">
        <f>INDEX(最终表!$A:$Y,语言表!$F390+4,INDEX($F$1:$L$1,1,$G390+1))</f>
        <v>正要告诉你，我获得了哥布林的宝石</v>
      </c>
      <c r="F390">
        <f t="shared" si="12"/>
        <v>68</v>
      </c>
      <c r="G390">
        <f t="shared" si="13"/>
        <v>2</v>
      </c>
    </row>
    <row r="391" spans="1:7" x14ac:dyDescent="0.15">
      <c r="A391" t="str">
        <f>INDEX(最终表!$A:$Y,语言表!$F391+4,INDEX($F$2:$L$2,1,$G391+1))</f>
        <v>t_director_option0_1101205</v>
      </c>
      <c r="B391" t="str">
        <f>INDEX(最终表!$A:$Y,语言表!$F391+4,INDEX($F$1:$L$1,1,$G391+1))</f>
        <v xml:space="preserve">好的 </v>
      </c>
      <c r="F391">
        <f t="shared" si="12"/>
        <v>69</v>
      </c>
      <c r="G391">
        <f t="shared" si="13"/>
        <v>2</v>
      </c>
    </row>
    <row r="392" spans="1:7" x14ac:dyDescent="0.15">
      <c r="A392" t="str">
        <f>INDEX(最终表!$A:$Y,语言表!$F392+4,INDEX($F$2:$L$2,1,$G392+1))</f>
        <v>t_director_option0_1101206</v>
      </c>
      <c r="B392" t="str">
        <f>INDEX(最终表!$A:$Y,语言表!$F392+4,INDEX($F$1:$L$1,1,$G392+1))</f>
        <v>好的</v>
      </c>
      <c r="F392">
        <f t="shared" si="12"/>
        <v>70</v>
      </c>
      <c r="G392">
        <f t="shared" si="13"/>
        <v>2</v>
      </c>
    </row>
    <row r="393" spans="1:7" x14ac:dyDescent="0.15">
      <c r="A393" t="str">
        <f>INDEX(最终表!$A:$Y,语言表!$F393+4,INDEX($F$2:$L$2,1,$G393+1))</f>
        <v>t_director_option0_1101400</v>
      </c>
      <c r="B393" t="str">
        <f>INDEX(最终表!$A:$Y,语言表!$F393+4,INDEX($F$1:$L$1,1,$G393+1))</f>
        <v>你还需要什么帮助吗</v>
      </c>
      <c r="F393">
        <f t="shared" si="12"/>
        <v>71</v>
      </c>
      <c r="G393">
        <f t="shared" si="13"/>
        <v>2</v>
      </c>
    </row>
    <row r="394" spans="1:7" x14ac:dyDescent="0.15">
      <c r="A394" t="str">
        <f>INDEX(最终表!$A:$Y,语言表!$F394+4,INDEX($F$2:$L$2,1,$G394+1))</f>
        <v>t_director_option0_1101401</v>
      </c>
      <c r="B394" t="str">
        <f>INDEX(最终表!$A:$Y,语言表!$F394+4,INDEX($F$1:$L$1,1,$G394+1))</f>
        <v>我去猎取。</v>
      </c>
      <c r="F394">
        <f t="shared" si="12"/>
        <v>72</v>
      </c>
      <c r="G394">
        <f t="shared" si="13"/>
        <v>2</v>
      </c>
    </row>
    <row r="395" spans="1:7" x14ac:dyDescent="0.15">
      <c r="A395" t="str">
        <f>INDEX(最终表!$A:$Y,语言表!$F395+4,INDEX($F$2:$L$2,1,$G395+1))</f>
        <v>t_director_option0_1101450</v>
      </c>
      <c r="B395" t="str">
        <f>INDEX(最终表!$A:$Y,语言表!$F395+4,INDEX($F$1:$L$1,1,$G395+1))</f>
        <v>交纳熊皮</v>
      </c>
      <c r="F395">
        <f t="shared" si="12"/>
        <v>73</v>
      </c>
      <c r="G395">
        <f t="shared" si="13"/>
        <v>2</v>
      </c>
    </row>
    <row r="396" spans="1:7" x14ac:dyDescent="0.15">
      <c r="A396" t="str">
        <f>INDEX(最终表!$A:$Y,语言表!$F396+4,INDEX($F$2:$L$2,1,$G396+1))</f>
        <v>t_director_option0_1101451</v>
      </c>
      <c r="B396" t="str">
        <f>INDEX(最终表!$A:$Y,语言表!$F396+4,INDEX($F$1:$L$1,1,$G396+1))</f>
        <v>好的</v>
      </c>
      <c r="F396">
        <f t="shared" si="12"/>
        <v>74</v>
      </c>
      <c r="G396">
        <f t="shared" si="13"/>
        <v>2</v>
      </c>
    </row>
    <row r="397" spans="1:7" x14ac:dyDescent="0.15">
      <c r="A397" t="str">
        <f>INDEX(最终表!$A:$Y,语言表!$F397+4,INDEX($F$2:$L$2,1,$G397+1))</f>
        <v>t_director_option0_1101500</v>
      </c>
      <c r="B397" t="str">
        <f>INDEX(最终表!$A:$Y,语言表!$F397+4,INDEX($F$1:$L$1,1,$G397+1))</f>
        <v>交纳耳环</v>
      </c>
      <c r="F397">
        <f t="shared" si="12"/>
        <v>75</v>
      </c>
      <c r="G397">
        <f t="shared" si="13"/>
        <v>2</v>
      </c>
    </row>
    <row r="398" spans="1:7" x14ac:dyDescent="0.15">
      <c r="A398" t="str">
        <f>INDEX(最终表!$A:$Y,语言表!$F398+4,INDEX($F$2:$L$2,1,$G398+1))</f>
        <v>t_director_option0_1101501</v>
      </c>
      <c r="B398" t="str">
        <f>INDEX(最终表!$A:$Y,语言表!$F398+4,INDEX($F$1:$L$1,1,$G398+1))</f>
        <v>…</v>
      </c>
      <c r="F398">
        <f t="shared" si="12"/>
        <v>76</v>
      </c>
      <c r="G398">
        <f t="shared" si="13"/>
        <v>2</v>
      </c>
    </row>
    <row r="399" spans="1:7" x14ac:dyDescent="0.15">
      <c r="A399" t="str">
        <f>INDEX(最终表!$A:$Y,语言表!$F399+4,INDEX($F$2:$L$2,1,$G399+1))</f>
        <v>t_director_option0_1101502</v>
      </c>
      <c r="B399" t="str">
        <f>INDEX(最终表!$A:$Y,语言表!$F399+4,INDEX($F$1:$L$1,1,$G399+1))</f>
        <v>好的</v>
      </c>
      <c r="F399">
        <f t="shared" si="12"/>
        <v>77</v>
      </c>
      <c r="G399">
        <f t="shared" si="13"/>
        <v>2</v>
      </c>
    </row>
    <row r="400" spans="1:7" x14ac:dyDescent="0.15">
      <c r="A400" t="str">
        <f>INDEX(最终表!$A:$Y,语言表!$F400+4,INDEX($F$2:$L$2,1,$G400+1))</f>
        <v>t_director_option0_1101600</v>
      </c>
      <c r="B400" t="str">
        <f>INDEX(最终表!$A:$Y,语言表!$F400+4,INDEX($F$1:$L$1,1,$G400+1))</f>
        <v>交纳蟹肉</v>
      </c>
      <c r="F400">
        <f t="shared" si="12"/>
        <v>78</v>
      </c>
      <c r="G400">
        <f t="shared" si="13"/>
        <v>2</v>
      </c>
    </row>
    <row r="401" spans="1:7" x14ac:dyDescent="0.15">
      <c r="A401" t="str">
        <f>INDEX(最终表!$A:$Y,语言表!$F401+4,INDEX($F$2:$L$2,1,$G401+1))</f>
        <v>t_director_option0_1101601</v>
      </c>
      <c r="B401" t="str">
        <f>INDEX(最终表!$A:$Y,语言表!$F401+4,INDEX($F$1:$L$1,1,$G401+1))</f>
        <v>…</v>
      </c>
      <c r="F401">
        <f t="shared" si="12"/>
        <v>79</v>
      </c>
      <c r="G401">
        <f t="shared" si="13"/>
        <v>2</v>
      </c>
    </row>
    <row r="402" spans="1:7" x14ac:dyDescent="0.15">
      <c r="A402" t="str">
        <f>INDEX(最终表!$A:$Y,语言表!$F402+4,INDEX($F$2:$L$2,1,$G402+1))</f>
        <v>t_director_option0_1101700</v>
      </c>
      <c r="B402" t="str">
        <f>INDEX(最终表!$A:$Y,语言表!$F402+4,INDEX($F$1:$L$1,1,$G402+1))</f>
        <v>卡玛小姐，需要帮助吗？</v>
      </c>
      <c r="F402">
        <f t="shared" si="12"/>
        <v>80</v>
      </c>
      <c r="G402">
        <f t="shared" si="13"/>
        <v>2</v>
      </c>
    </row>
    <row r="403" spans="1:7" x14ac:dyDescent="0.15">
      <c r="A403" t="str">
        <f>INDEX(最终表!$A:$Y,语言表!$F403+4,INDEX($F$2:$L$2,1,$G403+1))</f>
        <v>t_director_option0_1101701</v>
      </c>
      <c r="B403" t="str">
        <f>INDEX(最终表!$A:$Y,语言表!$F403+4,INDEX($F$1:$L$1,1,$G403+1))</f>
        <v>我去猎取。</v>
      </c>
      <c r="F403">
        <f t="shared" si="12"/>
        <v>81</v>
      </c>
      <c r="G403">
        <f t="shared" si="13"/>
        <v>2</v>
      </c>
    </row>
    <row r="404" spans="1:7" x14ac:dyDescent="0.15">
      <c r="A404" t="str">
        <f>INDEX(最终表!$A:$Y,语言表!$F404+4,INDEX($F$2:$L$2,1,$G404+1))</f>
        <v>t_director_option0_1101750</v>
      </c>
      <c r="B404" t="str">
        <f>INDEX(最终表!$A:$Y,语言表!$F404+4,INDEX($F$1:$L$1,1,$G404+1))</f>
        <v>交纳熊皮</v>
      </c>
      <c r="F404">
        <f t="shared" si="12"/>
        <v>82</v>
      </c>
      <c r="G404">
        <f t="shared" si="13"/>
        <v>2</v>
      </c>
    </row>
    <row r="405" spans="1:7" x14ac:dyDescent="0.15">
      <c r="A405" t="str">
        <f>INDEX(最终表!$A:$Y,语言表!$F405+4,INDEX($F$2:$L$2,1,$G405+1))</f>
        <v>t_director_option0_1101751</v>
      </c>
      <c r="B405" t="str">
        <f>INDEX(最终表!$A:$Y,语言表!$F405+4,INDEX($F$1:$L$1,1,$G405+1))</f>
        <v>好的</v>
      </c>
      <c r="F405">
        <f t="shared" si="12"/>
        <v>83</v>
      </c>
      <c r="G405">
        <f t="shared" si="13"/>
        <v>2</v>
      </c>
    </row>
    <row r="406" spans="1:7" x14ac:dyDescent="0.15">
      <c r="A406" t="str">
        <f>INDEX(最终表!$A:$Y,语言表!$F406+4,INDEX($F$2:$L$2,1,$G406+1))</f>
        <v>t_director_option0_1101800</v>
      </c>
      <c r="B406" t="str">
        <f>INDEX(最终表!$A:$Y,语言表!$F406+4,INDEX($F$1:$L$1,1,$G406+1))</f>
        <v>讨伐了</v>
      </c>
      <c r="F406">
        <f t="shared" si="12"/>
        <v>84</v>
      </c>
      <c r="G406">
        <f t="shared" si="13"/>
        <v>2</v>
      </c>
    </row>
    <row r="407" spans="1:7" x14ac:dyDescent="0.15">
      <c r="A407" t="str">
        <f>INDEX(最终表!$A:$Y,语言表!$F407+4,INDEX($F$2:$L$2,1,$G407+1))</f>
        <v>t_director_option0_1101801</v>
      </c>
      <c r="B407" t="str">
        <f>INDEX(最终表!$A:$Y,语言表!$F407+4,INDEX($F$1:$L$1,1,$G407+1))</f>
        <v>好的</v>
      </c>
      <c r="F407">
        <f t="shared" si="12"/>
        <v>85</v>
      </c>
      <c r="G407">
        <f t="shared" si="13"/>
        <v>2</v>
      </c>
    </row>
    <row r="408" spans="1:7" x14ac:dyDescent="0.15">
      <c r="A408" t="str">
        <f>INDEX(最终表!$A:$Y,语言表!$F408+4,INDEX($F$2:$L$2,1,$G408+1))</f>
        <v>t_director_option0_1101900</v>
      </c>
      <c r="B408" t="str">
        <f>INDEX(最终表!$A:$Y,语言表!$F408+4,INDEX($F$1:$L$1,1,$G408+1))</f>
        <v>交纳鹿肉</v>
      </c>
      <c r="F408">
        <f t="shared" si="12"/>
        <v>86</v>
      </c>
      <c r="G408">
        <f t="shared" si="13"/>
        <v>2</v>
      </c>
    </row>
    <row r="409" spans="1:7" x14ac:dyDescent="0.15">
      <c r="A409" t="str">
        <f>INDEX(最终表!$A:$Y,语言表!$F409+4,INDEX($F$2:$L$2,1,$G409+1))</f>
        <v>t_director_option0_1101901</v>
      </c>
      <c r="B409" t="str">
        <f>INDEX(最终表!$A:$Y,语言表!$F409+4,INDEX($F$1:$L$1,1,$G409+1))</f>
        <v>不客气</v>
      </c>
      <c r="F409">
        <f t="shared" si="12"/>
        <v>87</v>
      </c>
      <c r="G409">
        <f t="shared" si="13"/>
        <v>2</v>
      </c>
    </row>
    <row r="410" spans="1:7" x14ac:dyDescent="0.15">
      <c r="A410" t="str">
        <f>INDEX(最终表!$A:$Y,语言表!$F410+4,INDEX($F$2:$L$2,1,$G410+1))</f>
        <v>t_director_option0_1102000</v>
      </c>
      <c r="B410" t="str">
        <f>INDEX(最终表!$A:$Y,语言表!$F410+4,INDEX($F$1:$L$1,1,$G410+1))</f>
        <v>…</v>
      </c>
      <c r="F410">
        <f t="shared" si="12"/>
        <v>88</v>
      </c>
      <c r="G410">
        <f t="shared" si="13"/>
        <v>2</v>
      </c>
    </row>
    <row r="411" spans="1:7" x14ac:dyDescent="0.15">
      <c r="A411" t="str">
        <f>INDEX(最终表!$A:$Y,语言表!$F411+4,INDEX($F$2:$L$2,1,$G411+1))</f>
        <v>t_director_option0_1102001</v>
      </c>
      <c r="B411" t="str">
        <f>INDEX(最终表!$A:$Y,语言表!$F411+4,INDEX($F$1:$L$1,1,$G411+1))</f>
        <v>…</v>
      </c>
      <c r="F411">
        <f t="shared" si="12"/>
        <v>89</v>
      </c>
      <c r="G411">
        <f t="shared" si="13"/>
        <v>2</v>
      </c>
    </row>
    <row r="412" spans="1:7" x14ac:dyDescent="0.15">
      <c r="A412" t="str">
        <f>INDEX(最终表!$A:$Y,语言表!$F412+4,INDEX($F$2:$L$2,1,$G412+1))</f>
        <v>t_director_option0_1102002</v>
      </c>
      <c r="B412" t="str">
        <f>INDEX(最终表!$A:$Y,语言表!$F412+4,INDEX($F$1:$L$1,1,$G412+1))</f>
        <v>…</v>
      </c>
      <c r="F412">
        <f t="shared" si="12"/>
        <v>90</v>
      </c>
      <c r="G412">
        <f t="shared" si="13"/>
        <v>2</v>
      </c>
    </row>
    <row r="413" spans="1:7" x14ac:dyDescent="0.15">
      <c r="A413" t="str">
        <f>INDEX(最终表!$A:$Y,语言表!$F413+4,INDEX($F$2:$L$2,1,$G413+1))</f>
        <v>t_director_option0_1102003</v>
      </c>
      <c r="B413" t="str">
        <f>INDEX(最终表!$A:$Y,语言表!$F413+4,INDEX($F$1:$L$1,1,$G413+1))</f>
        <v>我去收集</v>
      </c>
      <c r="F413">
        <f t="shared" si="12"/>
        <v>91</v>
      </c>
      <c r="G413">
        <f t="shared" si="13"/>
        <v>2</v>
      </c>
    </row>
    <row r="414" spans="1:7" x14ac:dyDescent="0.15">
      <c r="A414" t="str">
        <f>INDEX(最终表!$A:$Y,语言表!$F414+4,INDEX($F$2:$L$2,1,$G414+1))</f>
        <v>t_director_option0_1102050</v>
      </c>
      <c r="B414" t="str">
        <f>INDEX(最终表!$A:$Y,语言表!$F414+4,INDEX($F$1:$L$1,1,$G414+1))</f>
        <v>交纳铁块</v>
      </c>
      <c r="F414">
        <f t="shared" si="12"/>
        <v>92</v>
      </c>
      <c r="G414">
        <f t="shared" si="13"/>
        <v>2</v>
      </c>
    </row>
    <row r="415" spans="1:7" x14ac:dyDescent="0.15">
      <c r="A415" t="str">
        <f>INDEX(最终表!$A:$Y,语言表!$F415+4,INDEX($F$2:$L$2,1,$G415+1))</f>
        <v>t_director_option0_1102051</v>
      </c>
      <c r="B415" t="str">
        <f>INDEX(最终表!$A:$Y,语言表!$F415+4,INDEX($F$1:$L$1,1,$G415+1))</f>
        <v>好的</v>
      </c>
      <c r="F415">
        <f t="shared" si="12"/>
        <v>93</v>
      </c>
      <c r="G415">
        <f t="shared" si="13"/>
        <v>2</v>
      </c>
    </row>
    <row r="416" spans="1:7" x14ac:dyDescent="0.15">
      <c r="A416" t="str">
        <f>INDEX(最终表!$A:$Y,语言表!$F416+4,INDEX($F$2:$L$2,1,$G416+1))</f>
        <v>t_director_option0_1102100</v>
      </c>
      <c r="B416" t="str">
        <f>INDEX(最终表!$A:$Y,语言表!$F416+4,INDEX($F$1:$L$1,1,$G416+1))</f>
        <v>完成了</v>
      </c>
      <c r="F416">
        <f t="shared" si="12"/>
        <v>94</v>
      </c>
      <c r="G416">
        <f t="shared" si="13"/>
        <v>2</v>
      </c>
    </row>
    <row r="417" spans="1:7" x14ac:dyDescent="0.15">
      <c r="A417" t="str">
        <f>INDEX(最终表!$A:$Y,语言表!$F417+4,INDEX($F$2:$L$2,1,$G417+1))</f>
        <v>t_director_option0_1102101</v>
      </c>
      <c r="B417" t="str">
        <f>INDEX(最终表!$A:$Y,语言表!$F417+4,INDEX($F$1:$L$1,1,$G417+1))</f>
        <v>…</v>
      </c>
      <c r="F417">
        <f t="shared" si="12"/>
        <v>95</v>
      </c>
      <c r="G417">
        <f t="shared" si="13"/>
        <v>2</v>
      </c>
    </row>
    <row r="418" spans="1:7" x14ac:dyDescent="0.15">
      <c r="A418" t="str">
        <f>INDEX(最终表!$A:$Y,语言表!$F418+4,INDEX($F$2:$L$2,1,$G418+1))</f>
        <v>t_director_option0_1102102</v>
      </c>
      <c r="B418" t="str">
        <f>INDEX(最终表!$A:$Y,语言表!$F418+4,INDEX($F$1:$L$1,1,$G418+1))</f>
        <v>好的</v>
      </c>
      <c r="F418">
        <f t="shared" si="12"/>
        <v>96</v>
      </c>
      <c r="G418">
        <f t="shared" si="13"/>
        <v>2</v>
      </c>
    </row>
    <row r="419" spans="1:7" x14ac:dyDescent="0.15">
      <c r="A419" t="str">
        <f>INDEX(最终表!$A:$Y,语言表!$F419+4,INDEX($F$2:$L$2,1,$G419+1))</f>
        <v>t_director_option0_1102103</v>
      </c>
      <c r="B419" t="str">
        <f>INDEX(最终表!$A:$Y,语言表!$F419+4,INDEX($F$1:$L$1,1,$G419+1))</f>
        <v>好的</v>
      </c>
      <c r="F419">
        <f t="shared" si="12"/>
        <v>97</v>
      </c>
      <c r="G419">
        <f t="shared" si="13"/>
        <v>2</v>
      </c>
    </row>
    <row r="420" spans="1:7" x14ac:dyDescent="0.15">
      <c r="A420" t="str">
        <f>INDEX(最终表!$A:$Y,语言表!$F420+4,INDEX($F$2:$L$2,1,$G420+1))</f>
        <v>t_director_option0_1102104</v>
      </c>
      <c r="B420" t="str">
        <f>INDEX(最终表!$A:$Y,语言表!$F420+4,INDEX($F$1:$L$1,1,$G420+1))</f>
        <v>接受</v>
      </c>
      <c r="F420">
        <f t="shared" si="12"/>
        <v>98</v>
      </c>
      <c r="G420">
        <f t="shared" si="13"/>
        <v>2</v>
      </c>
    </row>
    <row r="421" spans="1:7" x14ac:dyDescent="0.15">
      <c r="A421" t="str">
        <f>INDEX(最终表!$A:$Y,语言表!$F421+4,INDEX($F$2:$L$2,1,$G421+1))</f>
        <v>t_director_option0_1102105</v>
      </c>
      <c r="B421" t="str">
        <f>INDEX(最终表!$A:$Y,语言表!$F421+4,INDEX($F$1:$L$1,1,$G421+1))</f>
        <v>继续离开</v>
      </c>
      <c r="F421">
        <f t="shared" si="12"/>
        <v>99</v>
      </c>
      <c r="G421">
        <f t="shared" si="13"/>
        <v>2</v>
      </c>
    </row>
    <row r="422" spans="1:7" x14ac:dyDescent="0.15">
      <c r="A422" t="str">
        <f>INDEX(最终表!$A:$Y,语言表!$F422+4,INDEX($F$2:$L$2,1,$G422+1))</f>
        <v>t_director_option0_1102106</v>
      </c>
      <c r="B422" t="str">
        <f>INDEX(最终表!$A:$Y,语言表!$F422+4,INDEX($F$1:$L$1,1,$G422+1))</f>
        <v>好吧，我接受你的委托</v>
      </c>
      <c r="F422">
        <f t="shared" si="12"/>
        <v>100</v>
      </c>
      <c r="G422">
        <f t="shared" si="13"/>
        <v>2</v>
      </c>
    </row>
    <row r="423" spans="1:7" x14ac:dyDescent="0.15">
      <c r="A423" t="str">
        <f>INDEX(最终表!$A:$Y,语言表!$F423+4,INDEX($F$2:$L$2,1,$G423+1))</f>
        <v>t_director_option0_1102107</v>
      </c>
      <c r="B423" t="str">
        <f>INDEX(最终表!$A:$Y,语言表!$F423+4,INDEX($F$1:$L$1,1,$G423+1))</f>
        <v>…</v>
      </c>
      <c r="F423">
        <f t="shared" si="12"/>
        <v>101</v>
      </c>
      <c r="G423">
        <f t="shared" si="13"/>
        <v>2</v>
      </c>
    </row>
    <row r="424" spans="1:7" x14ac:dyDescent="0.15">
      <c r="A424" t="str">
        <f>INDEX(最终表!$A:$Y,语言表!$F424+4,INDEX($F$2:$L$2,1,$G424+1))</f>
        <v>t_director_option0_1102200</v>
      </c>
      <c r="B424" t="str">
        <f>INDEX(最终表!$A:$Y,语言表!$F424+4,INDEX($F$1:$L$1,1,$G424+1))</f>
        <v>交纳破碎的魔法结晶</v>
      </c>
      <c r="F424">
        <f t="shared" si="12"/>
        <v>102</v>
      </c>
      <c r="G424">
        <f t="shared" si="13"/>
        <v>2</v>
      </c>
    </row>
    <row r="425" spans="1:7" x14ac:dyDescent="0.15">
      <c r="A425" t="str">
        <f>INDEX(最终表!$A:$Y,语言表!$F425+4,INDEX($F$2:$L$2,1,$G425+1))</f>
        <v>t_director_option0_1102201</v>
      </c>
      <c r="B425" t="str">
        <f>INDEX(最终表!$A:$Y,语言表!$F425+4,INDEX($F$1:$L$1,1,$G425+1))</f>
        <v>…</v>
      </c>
      <c r="F425">
        <f t="shared" si="12"/>
        <v>103</v>
      </c>
      <c r="G425">
        <f t="shared" si="13"/>
        <v>2</v>
      </c>
    </row>
    <row r="426" spans="1:7" x14ac:dyDescent="0.15">
      <c r="A426" t="str">
        <f>INDEX(最终表!$A:$Y,语言表!$F426+4,INDEX($F$2:$L$2,1,$G426+1))</f>
        <v>t_director_option0_1102300</v>
      </c>
      <c r="B426" t="str">
        <f>INDEX(最终表!$A:$Y,语言表!$F426+4,INDEX($F$1:$L$1,1,$G426+1))</f>
        <v>是的</v>
      </c>
      <c r="F426">
        <f t="shared" si="12"/>
        <v>104</v>
      </c>
      <c r="G426">
        <f t="shared" si="13"/>
        <v>2</v>
      </c>
    </row>
    <row r="427" spans="1:7" x14ac:dyDescent="0.15">
      <c r="A427" t="str">
        <f>INDEX(最终表!$A:$Y,语言表!$F427+4,INDEX($F$2:$L$2,1,$G427+1))</f>
        <v>t_director_option0_1102301</v>
      </c>
      <c r="B427" t="str">
        <f>INDEX(最终表!$A:$Y,语言表!$F427+4,INDEX($F$1:$L$1,1,$G427+1))</f>
        <v>…</v>
      </c>
      <c r="F427">
        <f t="shared" si="12"/>
        <v>105</v>
      </c>
      <c r="G427">
        <f t="shared" si="13"/>
        <v>2</v>
      </c>
    </row>
    <row r="428" spans="1:7" x14ac:dyDescent="0.15">
      <c r="A428" t="str">
        <f>INDEX(最终表!$A:$Y,语言表!$F428+4,INDEX($F$2:$L$2,1,$G428+1))</f>
        <v>t_director_option0_1102302</v>
      </c>
      <c r="B428" t="str">
        <f>INDEX(最终表!$A:$Y,语言表!$F428+4,INDEX($F$1:$L$1,1,$G428+1))</f>
        <v>好的</v>
      </c>
      <c r="F428">
        <f t="shared" si="12"/>
        <v>106</v>
      </c>
      <c r="G428">
        <f t="shared" si="13"/>
        <v>2</v>
      </c>
    </row>
    <row r="429" spans="1:7" x14ac:dyDescent="0.15">
      <c r="A429" t="str">
        <f>INDEX(最终表!$A:$Y,语言表!$F429+4,INDEX($F$2:$L$2,1,$G429+1))</f>
        <v>t_director_option0_1102310</v>
      </c>
      <c r="B429" t="str">
        <f>INDEX(最终表!$A:$Y,语言表!$F429+4,INDEX($F$1:$L$1,1,$G429+1))</f>
        <v>交纳铁矿</v>
      </c>
      <c r="F429">
        <f t="shared" si="12"/>
        <v>107</v>
      </c>
      <c r="G429">
        <f t="shared" si="13"/>
        <v>2</v>
      </c>
    </row>
    <row r="430" spans="1:7" x14ac:dyDescent="0.15">
      <c r="A430" t="str">
        <f>INDEX(最终表!$A:$Y,语言表!$F430+4,INDEX($F$2:$L$2,1,$G430+1))</f>
        <v>t_director_option0_1102311</v>
      </c>
      <c r="B430" t="str">
        <f>INDEX(最终表!$A:$Y,语言表!$F430+4,INDEX($F$1:$L$1,1,$G430+1))</f>
        <v>…</v>
      </c>
      <c r="F430">
        <f t="shared" si="12"/>
        <v>108</v>
      </c>
      <c r="G430">
        <f t="shared" si="13"/>
        <v>2</v>
      </c>
    </row>
    <row r="431" spans="1:7" x14ac:dyDescent="0.15">
      <c r="A431" t="str">
        <f>INDEX(最终表!$A:$Y,语言表!$F431+4,INDEX($F$2:$L$2,1,$G431+1))</f>
        <v>t_director_option0_1102312</v>
      </c>
      <c r="B431" t="str">
        <f>INDEX(最终表!$A:$Y,语言表!$F431+4,INDEX($F$1:$L$1,1,$G431+1))</f>
        <v>好的</v>
      </c>
      <c r="F431">
        <f t="shared" si="12"/>
        <v>109</v>
      </c>
      <c r="G431">
        <f t="shared" si="13"/>
        <v>2</v>
      </c>
    </row>
    <row r="432" spans="1:7" x14ac:dyDescent="0.15">
      <c r="A432" t="str">
        <f>INDEX(最终表!$A:$Y,语言表!$F432+4,INDEX($F$2:$L$2,1,$G432+1))</f>
        <v>t_director_option0_1102350</v>
      </c>
      <c r="B432" t="str">
        <f>INDEX(最终表!$A:$Y,语言表!$F432+4,INDEX($F$1:$L$1,1,$G432+1))</f>
        <v>已经完成了</v>
      </c>
      <c r="F432">
        <f t="shared" si="12"/>
        <v>110</v>
      </c>
      <c r="G432">
        <f t="shared" si="13"/>
        <v>2</v>
      </c>
    </row>
    <row r="433" spans="1:7" x14ac:dyDescent="0.15">
      <c r="A433" t="str">
        <f>INDEX(最终表!$A:$Y,语言表!$F433+4,INDEX($F$2:$L$2,1,$G433+1))</f>
        <v>t_director_option0_1102351</v>
      </c>
      <c r="B433" t="str">
        <f>INDEX(最终表!$A:$Y,语言表!$F433+4,INDEX($F$1:$L$1,1,$G433+1))</f>
        <v>…</v>
      </c>
      <c r="F433">
        <f t="shared" si="12"/>
        <v>111</v>
      </c>
      <c r="G433">
        <f t="shared" si="13"/>
        <v>2</v>
      </c>
    </row>
    <row r="434" spans="1:7" x14ac:dyDescent="0.15">
      <c r="A434" t="str">
        <f>INDEX(最终表!$A:$Y,语言表!$F434+4,INDEX($F$2:$L$2,1,$G434+1))</f>
        <v>t_director_option0_1102352</v>
      </c>
      <c r="B434" t="str">
        <f>INDEX(最终表!$A:$Y,语言表!$F434+4,INDEX($F$1:$L$1,1,$G434+1))</f>
        <v>好的</v>
      </c>
      <c r="F434">
        <f t="shared" si="12"/>
        <v>112</v>
      </c>
      <c r="G434">
        <f t="shared" si="13"/>
        <v>2</v>
      </c>
    </row>
    <row r="435" spans="1:7" x14ac:dyDescent="0.15">
      <c r="A435" t="str">
        <f>INDEX(最终表!$A:$Y,语言表!$F435+4,INDEX($F$2:$L$2,1,$G435+1))</f>
        <v>t_director_option0_1102400</v>
      </c>
      <c r="B435" t="str">
        <f>INDEX(最终表!$A:$Y,语言表!$F435+4,INDEX($F$1:$L$1,1,$G435+1))</f>
        <v>已经回收了</v>
      </c>
      <c r="F435">
        <f t="shared" si="12"/>
        <v>113</v>
      </c>
      <c r="G435">
        <f t="shared" si="13"/>
        <v>2</v>
      </c>
    </row>
    <row r="436" spans="1:7" x14ac:dyDescent="0.15">
      <c r="A436" t="str">
        <f>INDEX(最终表!$A:$Y,语言表!$F436+4,INDEX($F$2:$L$2,1,$G436+1))</f>
        <v>t_director_option0_1102401</v>
      </c>
      <c r="B436" t="str">
        <f>INDEX(最终表!$A:$Y,语言表!$F436+4,INDEX($F$1:$L$1,1,$G436+1))</f>
        <v>离开</v>
      </c>
      <c r="F436">
        <f t="shared" si="12"/>
        <v>114</v>
      </c>
      <c r="G436">
        <f t="shared" si="13"/>
        <v>2</v>
      </c>
    </row>
    <row r="437" spans="1:7" x14ac:dyDescent="0.15">
      <c r="A437" t="str">
        <f>INDEX(最终表!$A:$Y,语言表!$F437+4,INDEX($F$2:$L$2,1,$G437+1))</f>
        <v>t_director_option0_1102410</v>
      </c>
      <c r="B437" t="str">
        <f>INDEX(最终表!$A:$Y,语言表!$F437+4,INDEX($F$1:$L$1,1,$G437+1))</f>
        <v>…</v>
      </c>
      <c r="F437">
        <f t="shared" si="12"/>
        <v>115</v>
      </c>
      <c r="G437">
        <f t="shared" si="13"/>
        <v>2</v>
      </c>
    </row>
    <row r="438" spans="1:7" x14ac:dyDescent="0.15">
      <c r="A438" t="str">
        <f>INDEX(最终表!$A:$Y,语言表!$F438+4,INDEX($F$2:$L$2,1,$G438+1))</f>
        <v>t_director_option0_1102411</v>
      </c>
      <c r="B438" t="str">
        <f>INDEX(最终表!$A:$Y,语言表!$F438+4,INDEX($F$1:$L$1,1,$G438+1))</f>
        <v>我去猎取</v>
      </c>
      <c r="F438">
        <f t="shared" si="12"/>
        <v>116</v>
      </c>
      <c r="G438">
        <f t="shared" si="13"/>
        <v>2</v>
      </c>
    </row>
    <row r="439" spans="1:7" x14ac:dyDescent="0.15">
      <c r="A439" t="str">
        <f>INDEX(最终表!$A:$Y,语言表!$F439+4,INDEX($F$2:$L$2,1,$G439+1))</f>
        <v>t_director_option0_1102450</v>
      </c>
      <c r="B439" t="str">
        <f>INDEX(最终表!$A:$Y,语言表!$F439+4,INDEX($F$1:$L$1,1,$G439+1))</f>
        <v>交纳兽皮</v>
      </c>
      <c r="F439">
        <f t="shared" si="12"/>
        <v>117</v>
      </c>
      <c r="G439">
        <f t="shared" si="13"/>
        <v>2</v>
      </c>
    </row>
    <row r="440" spans="1:7" x14ac:dyDescent="0.15">
      <c r="A440" t="str">
        <f>INDEX(最终表!$A:$Y,语言表!$F440+4,INDEX($F$2:$L$2,1,$G440+1))</f>
        <v>t_director_option0_1102451</v>
      </c>
      <c r="B440" t="str">
        <f>INDEX(最终表!$A:$Y,语言表!$F440+4,INDEX($F$1:$L$1,1,$G440+1))</f>
        <v>好的</v>
      </c>
      <c r="F440">
        <f t="shared" si="12"/>
        <v>118</v>
      </c>
      <c r="G440">
        <f t="shared" si="13"/>
        <v>2</v>
      </c>
    </row>
    <row r="441" spans="1:7" x14ac:dyDescent="0.15">
      <c r="A441" t="str">
        <f>INDEX(最终表!$A:$Y,语言表!$F441+4,INDEX($F$2:$L$2,1,$G441+1))</f>
        <v>t_director_option0_1102480</v>
      </c>
      <c r="B441" t="str">
        <f>INDEX(最终表!$A:$Y,语言表!$F441+4,INDEX($F$1:$L$1,1,$G441+1))</f>
        <v>已经完成了</v>
      </c>
      <c r="F441">
        <f t="shared" si="12"/>
        <v>119</v>
      </c>
      <c r="G441">
        <f t="shared" si="13"/>
        <v>2</v>
      </c>
    </row>
    <row r="442" spans="1:7" x14ac:dyDescent="0.15">
      <c r="A442" t="str">
        <f>INDEX(最终表!$A:$Y,语言表!$F442+4,INDEX($F$2:$L$2,1,$G442+1))</f>
        <v>t_director_option0_1102481</v>
      </c>
      <c r="B442" t="str">
        <f>INDEX(最终表!$A:$Y,语言表!$F442+4,INDEX($F$1:$L$1,1,$G442+1))</f>
        <v>…</v>
      </c>
      <c r="F442">
        <f t="shared" si="12"/>
        <v>120</v>
      </c>
      <c r="G442">
        <f t="shared" si="13"/>
        <v>2</v>
      </c>
    </row>
    <row r="443" spans="1:7" x14ac:dyDescent="0.15">
      <c r="A443" t="str">
        <f>INDEX(最终表!$A:$Y,语言表!$F443+4,INDEX($F$2:$L$2,1,$G443+1))</f>
        <v>t_director_option0_1102482</v>
      </c>
      <c r="B443" t="str">
        <f>INDEX(最终表!$A:$Y,语言表!$F443+4,INDEX($F$1:$L$1,1,$G443+1))</f>
        <v>好吧，我接受你的委托</v>
      </c>
      <c r="F443">
        <f t="shared" si="12"/>
        <v>121</v>
      </c>
      <c r="G443">
        <f t="shared" si="13"/>
        <v>2</v>
      </c>
    </row>
    <row r="444" spans="1:7" x14ac:dyDescent="0.15">
      <c r="A444" t="str">
        <f>INDEX(最终表!$A:$Y,语言表!$F444+4,INDEX($F$2:$L$2,1,$G444+1))</f>
        <v>t_director_option0_1102483</v>
      </c>
      <c r="B444" t="str">
        <f>INDEX(最终表!$A:$Y,语言表!$F444+4,INDEX($F$1:$L$1,1,$G444+1))</f>
        <v>…</v>
      </c>
      <c r="F444">
        <f t="shared" si="12"/>
        <v>122</v>
      </c>
      <c r="G444">
        <f t="shared" si="13"/>
        <v>2</v>
      </c>
    </row>
    <row r="445" spans="1:7" x14ac:dyDescent="0.15">
      <c r="A445" t="str">
        <f>INDEX(最终表!$A:$Y,语言表!$F445+4,INDEX($F$2:$L$2,1,$G445+1))</f>
        <v>t_director_option0_1102484</v>
      </c>
      <c r="B445" t="str">
        <f>INDEX(最终表!$A:$Y,语言表!$F445+4,INDEX($F$1:$L$1,1,$G445+1))</f>
        <v>好吧，我接受你的委托</v>
      </c>
      <c r="F445">
        <f t="shared" si="12"/>
        <v>123</v>
      </c>
      <c r="G445">
        <f t="shared" si="13"/>
        <v>2</v>
      </c>
    </row>
    <row r="446" spans="1:7" x14ac:dyDescent="0.15">
      <c r="A446" t="str">
        <f>INDEX(最终表!$A:$Y,语言表!$F446+4,INDEX($F$2:$L$2,1,$G446+1))</f>
        <v>t_director_option0_1102500</v>
      </c>
      <c r="B446" t="str">
        <f>INDEX(最终表!$A:$Y,语言表!$F446+4,INDEX($F$1:$L$1,1,$G446+1))</f>
        <v>已经收缴好了</v>
      </c>
      <c r="F446">
        <f t="shared" si="12"/>
        <v>124</v>
      </c>
      <c r="G446">
        <f t="shared" si="13"/>
        <v>2</v>
      </c>
    </row>
    <row r="447" spans="1:7" x14ac:dyDescent="0.15">
      <c r="A447" t="str">
        <f>INDEX(最终表!$A:$Y,语言表!$F447+4,INDEX($F$2:$L$2,1,$G447+1))</f>
        <v>t_director_option0_1102501</v>
      </c>
      <c r="B447" t="str">
        <f>INDEX(最终表!$A:$Y,语言表!$F447+4,INDEX($F$1:$L$1,1,$G447+1))</f>
        <v>…</v>
      </c>
      <c r="F447">
        <f t="shared" si="12"/>
        <v>125</v>
      </c>
      <c r="G447">
        <f t="shared" si="13"/>
        <v>2</v>
      </c>
    </row>
    <row r="448" spans="1:7" x14ac:dyDescent="0.15">
      <c r="A448" t="str">
        <f>INDEX(最终表!$A:$Y,语言表!$F448+4,INDEX($F$2:$L$2,1,$G448+1))</f>
        <v>t_director_option0_1102600</v>
      </c>
      <c r="B448" t="str">
        <f>INDEX(最终表!$A:$Y,语言表!$F448+4,INDEX($F$1:$L$1,1,$G448+1))</f>
        <v>好的</v>
      </c>
      <c r="F448">
        <f t="shared" si="12"/>
        <v>126</v>
      </c>
      <c r="G448">
        <f t="shared" si="13"/>
        <v>2</v>
      </c>
    </row>
    <row r="449" spans="1:7" x14ac:dyDescent="0.15">
      <c r="A449" t="str">
        <f>INDEX(最终表!$A:$Y,语言表!$F449+4,INDEX($F$2:$L$2,1,$G449+1))</f>
        <v>t_director_option0_1102650</v>
      </c>
      <c r="B449" t="str">
        <f>INDEX(最终表!$A:$Y,语言表!$F449+4,INDEX($F$1:$L$1,1,$G449+1))</f>
        <v>交纳宝玉</v>
      </c>
      <c r="F449">
        <f t="shared" si="12"/>
        <v>127</v>
      </c>
      <c r="G449">
        <f t="shared" si="13"/>
        <v>2</v>
      </c>
    </row>
    <row r="450" spans="1:7" x14ac:dyDescent="0.15">
      <c r="A450" t="str">
        <f>INDEX(最终表!$A:$Y,语言表!$F450+4,INDEX($F$2:$L$2,1,$G450+1))</f>
        <v>t_director_option0_1102651</v>
      </c>
      <c r="B450" t="str">
        <f>INDEX(最终表!$A:$Y,语言表!$F450+4,INDEX($F$1:$L$1,1,$G450+1))</f>
        <v>好吧，我接受你的委托</v>
      </c>
      <c r="F450">
        <f t="shared" si="12"/>
        <v>128</v>
      </c>
      <c r="G450">
        <f t="shared" si="13"/>
        <v>2</v>
      </c>
    </row>
    <row r="451" spans="1:7" x14ac:dyDescent="0.15">
      <c r="A451" t="str">
        <f>INDEX(最终表!$A:$Y,语言表!$F451+4,INDEX($F$2:$L$2,1,$G451+1))</f>
        <v>t_director_option0_1102652</v>
      </c>
      <c r="B451" t="str">
        <f>INDEX(最终表!$A:$Y,语言表!$F451+4,INDEX($F$1:$L$1,1,$G451+1))</f>
        <v>好吧，我去猎杀</v>
      </c>
      <c r="F451">
        <f t="shared" si="12"/>
        <v>129</v>
      </c>
      <c r="G451">
        <f t="shared" si="13"/>
        <v>2</v>
      </c>
    </row>
    <row r="452" spans="1:7" x14ac:dyDescent="0.15">
      <c r="A452" t="str">
        <f>INDEX(最终表!$A:$Y,语言表!$F452+4,INDEX($F$2:$L$2,1,$G452+1))</f>
        <v>t_director_option0_1102700</v>
      </c>
      <c r="B452" t="str">
        <f>INDEX(最终表!$A:$Y,语言表!$F452+4,INDEX($F$1:$L$1,1,$G452+1))</f>
        <v>击杀过了</v>
      </c>
      <c r="F452">
        <f t="shared" si="12"/>
        <v>130</v>
      </c>
      <c r="G452">
        <f t="shared" si="13"/>
        <v>2</v>
      </c>
    </row>
    <row r="453" spans="1:7" x14ac:dyDescent="0.15">
      <c r="A453" t="str">
        <f>INDEX(最终表!$A:$Y,语言表!$F453+4,INDEX($F$2:$L$2,1,$G453+1))</f>
        <v>t_director_option0_1102701</v>
      </c>
      <c r="B453" t="str">
        <f>INDEX(最终表!$A:$Y,语言表!$F453+4,INDEX($F$1:$L$1,1,$G453+1))</f>
        <v>好，我接受你的委托</v>
      </c>
      <c r="F453">
        <f t="shared" ref="F453:F516" si="14">MOD(ROW()-4,$N$1-3)</f>
        <v>131</v>
      </c>
      <c r="G453">
        <f t="shared" ref="G453:G516" si="15">INT((ROW()-4)/($N$1-3))</f>
        <v>2</v>
      </c>
    </row>
    <row r="454" spans="1:7" x14ac:dyDescent="0.15">
      <c r="A454" t="str">
        <f>INDEX(最终表!$A:$Y,语言表!$F454+4,INDEX($F$2:$L$2,1,$G454+1))</f>
        <v>t_director_option0_1102800</v>
      </c>
      <c r="B454" t="str">
        <f>INDEX(最终表!$A:$Y,语言表!$F454+4,INDEX($F$1:$L$1,1,$G454+1))</f>
        <v>收集好了</v>
      </c>
      <c r="F454">
        <f t="shared" si="14"/>
        <v>132</v>
      </c>
      <c r="G454">
        <f t="shared" si="15"/>
        <v>2</v>
      </c>
    </row>
    <row r="455" spans="1:7" x14ac:dyDescent="0.15">
      <c r="A455" t="str">
        <f>INDEX(最终表!$A:$Y,语言表!$F455+4,INDEX($F$2:$L$2,1,$G455+1))</f>
        <v>t_director_option0_1102801</v>
      </c>
      <c r="B455" t="str">
        <f>INDEX(最终表!$A:$Y,语言表!$F455+4,INDEX($F$1:$L$1,1,$G455+1))</f>
        <v>…</v>
      </c>
      <c r="F455">
        <f t="shared" si="14"/>
        <v>133</v>
      </c>
      <c r="G455">
        <f t="shared" si="15"/>
        <v>2</v>
      </c>
    </row>
    <row r="456" spans="1:7" x14ac:dyDescent="0.15">
      <c r="A456" t="str">
        <f>INDEX(最终表!$A:$Y,语言表!$F456+4,INDEX($F$2:$L$2,1,$G456+1))</f>
        <v>t_director_option0_1102802</v>
      </c>
      <c r="B456" t="str">
        <f>INDEX(最终表!$A:$Y,语言表!$F456+4,INDEX($F$1:$L$1,1,$G456+1))</f>
        <v>…</v>
      </c>
      <c r="F456">
        <f t="shared" si="14"/>
        <v>134</v>
      </c>
      <c r="G456">
        <f t="shared" si="15"/>
        <v>2</v>
      </c>
    </row>
    <row r="457" spans="1:7" x14ac:dyDescent="0.15">
      <c r="A457" t="str">
        <f>INDEX(最终表!$A:$Y,语言表!$F457+4,INDEX($F$2:$L$2,1,$G457+1))</f>
        <v>t_director_option0_1102803</v>
      </c>
      <c r="B457" t="str">
        <f>INDEX(最终表!$A:$Y,语言表!$F457+4,INDEX($F$1:$L$1,1,$G457+1))</f>
        <v>…</v>
      </c>
      <c r="F457">
        <f t="shared" si="14"/>
        <v>135</v>
      </c>
      <c r="G457">
        <f t="shared" si="15"/>
        <v>2</v>
      </c>
    </row>
    <row r="458" spans="1:7" x14ac:dyDescent="0.15">
      <c r="A458" t="str">
        <f>INDEX(最终表!$A:$Y,语言表!$F458+4,INDEX($F$2:$L$2,1,$G458+1))</f>
        <v>t_director_option0_1102804</v>
      </c>
      <c r="B458" t="str">
        <f>INDEX(最终表!$A:$Y,语言表!$F458+4,INDEX($F$1:$L$1,1,$G458+1))</f>
        <v>我知道了</v>
      </c>
      <c r="F458">
        <f t="shared" si="14"/>
        <v>136</v>
      </c>
      <c r="G458">
        <f t="shared" si="15"/>
        <v>2</v>
      </c>
    </row>
    <row r="459" spans="1:7" x14ac:dyDescent="0.15">
      <c r="A459" t="str">
        <f>INDEX(最终表!$A:$Y,语言表!$F459+4,INDEX($F$2:$L$2,1,$G459+1))</f>
        <v>t_director_option0_1102805</v>
      </c>
      <c r="B459" t="str">
        <f>INDEX(最终表!$A:$Y,语言表!$F459+4,INDEX($F$1:$L$1,1,$G459+1))</f>
        <v>…</v>
      </c>
      <c r="F459">
        <f t="shared" si="14"/>
        <v>137</v>
      </c>
      <c r="G459">
        <f t="shared" si="15"/>
        <v>2</v>
      </c>
    </row>
    <row r="460" spans="1:7" x14ac:dyDescent="0.15">
      <c r="A460" t="str">
        <f>INDEX(最终表!$A:$Y,语言表!$F460+4,INDEX($F$2:$L$2,1,$G460+1))</f>
        <v>t_director_option0_1102900</v>
      </c>
      <c r="B460" t="str">
        <f>INDEX(最终表!$A:$Y,语言表!$F460+4,INDEX($F$1:$L$1,1,$G460+1))</f>
        <v>你怎么还在这里</v>
      </c>
      <c r="F460">
        <f t="shared" si="14"/>
        <v>138</v>
      </c>
      <c r="G460">
        <f t="shared" si="15"/>
        <v>2</v>
      </c>
    </row>
    <row r="461" spans="1:7" x14ac:dyDescent="0.15">
      <c r="A461" t="str">
        <f>INDEX(最终表!$A:$Y,语言表!$F461+4,INDEX($F$2:$L$2,1,$G461+1))</f>
        <v>t_director_option0_1102901</v>
      </c>
      <c r="B461" t="str">
        <f>INDEX(最终表!$A:$Y,语言表!$F461+4,INDEX($F$1:$L$1,1,$G461+1))</f>
        <v>好的</v>
      </c>
      <c r="F461">
        <f t="shared" si="14"/>
        <v>139</v>
      </c>
      <c r="G461">
        <f t="shared" si="15"/>
        <v>2</v>
      </c>
    </row>
    <row r="462" spans="1:7" x14ac:dyDescent="0.15">
      <c r="A462" t="str">
        <f>INDEX(最终表!$A:$Y,语言表!$F462+4,INDEX($F$2:$L$2,1,$G462+1))</f>
        <v>t_director_option0_1103000</v>
      </c>
      <c r="B462" t="str">
        <f>INDEX(最终表!$A:$Y,语言表!$F462+4,INDEX($F$1:$L$1,1,$G462+1))</f>
        <v>交纳宝玉</v>
      </c>
      <c r="F462">
        <f t="shared" si="14"/>
        <v>140</v>
      </c>
      <c r="G462">
        <f t="shared" si="15"/>
        <v>2</v>
      </c>
    </row>
    <row r="463" spans="1:7" x14ac:dyDescent="0.15">
      <c r="A463" t="str">
        <f>INDEX(最终表!$A:$Y,语言表!$F463+4,INDEX($F$2:$L$2,1,$G463+1))</f>
        <v>t_director_option0_1103001</v>
      </c>
      <c r="B463" t="str">
        <f>INDEX(最终表!$A:$Y,语言表!$F463+4,INDEX($F$1:$L$1,1,$G463+1))</f>
        <v>…</v>
      </c>
      <c r="F463">
        <f t="shared" si="14"/>
        <v>141</v>
      </c>
      <c r="G463">
        <f t="shared" si="15"/>
        <v>2</v>
      </c>
    </row>
    <row r="464" spans="1:7" x14ac:dyDescent="0.15">
      <c r="A464" t="str">
        <f>INDEX(最终表!$A:$Y,语言表!$F464+4,INDEX($F$2:$L$2,1,$G464+1))</f>
        <v>t_director_option0_1103002</v>
      </c>
      <c r="B464" t="str">
        <f>INDEX(最终表!$A:$Y,语言表!$F464+4,INDEX($F$1:$L$1,1,$G464+1))</f>
        <v>…</v>
      </c>
      <c r="F464">
        <f t="shared" si="14"/>
        <v>142</v>
      </c>
      <c r="G464">
        <f t="shared" si="15"/>
        <v>2</v>
      </c>
    </row>
    <row r="465" spans="1:7" x14ac:dyDescent="0.15">
      <c r="A465" t="str">
        <f>INDEX(最终表!$A:$Y,语言表!$F465+4,INDEX($F$2:$L$2,1,$G465+1))</f>
        <v>t_director_option0_1103003</v>
      </c>
      <c r="B465" t="str">
        <f>INDEX(最终表!$A:$Y,语言表!$F465+4,INDEX($F$1:$L$1,1,$G465+1))</f>
        <v>好的</v>
      </c>
      <c r="F465">
        <f t="shared" si="14"/>
        <v>143</v>
      </c>
      <c r="G465">
        <f t="shared" si="15"/>
        <v>2</v>
      </c>
    </row>
    <row r="466" spans="1:7" x14ac:dyDescent="0.15">
      <c r="A466" t="str">
        <f>INDEX(最终表!$A:$Y,语言表!$F466+4,INDEX($F$2:$L$2,1,$G466+1))</f>
        <v>t_director_option0_1103100</v>
      </c>
      <c r="B466" t="str">
        <f>INDEX(最终表!$A:$Y,语言表!$F466+4,INDEX($F$1:$L$1,1,$G466+1))</f>
        <v>…</v>
      </c>
      <c r="F466">
        <f t="shared" si="14"/>
        <v>144</v>
      </c>
      <c r="G466">
        <f t="shared" si="15"/>
        <v>2</v>
      </c>
    </row>
    <row r="467" spans="1:7" x14ac:dyDescent="0.15">
      <c r="A467" t="str">
        <f>INDEX(最终表!$A:$Y,语言表!$F467+4,INDEX($F$2:$L$2,1,$G467+1))</f>
        <v>t_director_option0_1103101</v>
      </c>
      <c r="B467" t="str">
        <f>INDEX(最终表!$A:$Y,语言表!$F467+4,INDEX($F$1:$L$1,1,$G467+1))</f>
        <v>好的</v>
      </c>
      <c r="F467">
        <f t="shared" si="14"/>
        <v>145</v>
      </c>
      <c r="G467">
        <f t="shared" si="15"/>
        <v>2</v>
      </c>
    </row>
    <row r="468" spans="1:7" x14ac:dyDescent="0.15">
      <c r="A468" t="str">
        <f>INDEX(最终表!$A:$Y,语言表!$F468+4,INDEX($F$2:$L$2,1,$G468+1))</f>
        <v>t_director_option0_1103200</v>
      </c>
      <c r="B468" t="str">
        <f>INDEX(最终表!$A:$Y,语言表!$F468+4,INDEX($F$1:$L$1,1,$G468+1))</f>
        <v>收集好了</v>
      </c>
      <c r="F468">
        <f t="shared" si="14"/>
        <v>146</v>
      </c>
      <c r="G468">
        <f t="shared" si="15"/>
        <v>2</v>
      </c>
    </row>
    <row r="469" spans="1:7" x14ac:dyDescent="0.15">
      <c r="A469" t="str">
        <f>INDEX(最终表!$A:$Y,语言表!$F469+4,INDEX($F$2:$L$2,1,$G469+1))</f>
        <v>t_director_option0_1103201</v>
      </c>
      <c r="B469" t="str">
        <f>INDEX(最终表!$A:$Y,语言表!$F469+4,INDEX($F$1:$L$1,1,$G469+1))</f>
        <v>…</v>
      </c>
      <c r="F469">
        <f t="shared" si="14"/>
        <v>147</v>
      </c>
      <c r="G469">
        <f t="shared" si="15"/>
        <v>2</v>
      </c>
    </row>
    <row r="470" spans="1:7" x14ac:dyDescent="0.15">
      <c r="A470" t="str">
        <f>INDEX(最终表!$A:$Y,语言表!$F470+4,INDEX($F$2:$L$2,1,$G470+1))</f>
        <v>t_director_option0_1200100</v>
      </c>
      <c r="B470" t="str">
        <f>INDEX(最终表!$A:$Y,语言表!$F470+4,INDEX($F$1:$L$1,1,$G470+1))</f>
        <v>是</v>
      </c>
      <c r="F470">
        <f t="shared" si="14"/>
        <v>148</v>
      </c>
      <c r="G470">
        <f t="shared" si="15"/>
        <v>2</v>
      </c>
    </row>
    <row r="471" spans="1:7" x14ac:dyDescent="0.15">
      <c r="A471" t="str">
        <f>INDEX(最终表!$A:$Y,语言表!$F471+4,INDEX($F$2:$L$2,1,$G471+1))</f>
        <v>t_director_option0_1200200</v>
      </c>
      <c r="B471" t="str">
        <f>INDEX(最终表!$A:$Y,语言表!$F471+4,INDEX($F$1:$L$1,1,$G471+1))</f>
        <v>是</v>
      </c>
      <c r="F471">
        <f t="shared" si="14"/>
        <v>149</v>
      </c>
      <c r="G471">
        <f t="shared" si="15"/>
        <v>2</v>
      </c>
    </row>
    <row r="472" spans="1:7" x14ac:dyDescent="0.15">
      <c r="A472" t="str">
        <f>INDEX(最终表!$A:$Y,语言表!$F472+4,INDEX($F$2:$L$2,1,$G472+1))</f>
        <v>t_director_option0_1200300</v>
      </c>
      <c r="B472" t="str">
        <f>INDEX(最终表!$A:$Y,语言表!$F472+4,INDEX($F$1:$L$1,1,$G472+1))</f>
        <v>是</v>
      </c>
      <c r="F472">
        <f t="shared" si="14"/>
        <v>150</v>
      </c>
      <c r="G472">
        <f t="shared" si="15"/>
        <v>2</v>
      </c>
    </row>
    <row r="473" spans="1:7" x14ac:dyDescent="0.15">
      <c r="A473" t="str">
        <f>INDEX(最终表!$A:$Y,语言表!$F473+4,INDEX($F$2:$L$2,1,$G473+1))</f>
        <v>t_director_option0_1200400</v>
      </c>
      <c r="B473" t="str">
        <f>INDEX(最终表!$A:$Y,语言表!$F473+4,INDEX($F$1:$L$1,1,$G473+1))</f>
        <v>是</v>
      </c>
      <c r="F473">
        <f t="shared" si="14"/>
        <v>151</v>
      </c>
      <c r="G473">
        <f t="shared" si="15"/>
        <v>2</v>
      </c>
    </row>
    <row r="474" spans="1:7" x14ac:dyDescent="0.15">
      <c r="A474" t="str">
        <f>INDEX(最终表!$A:$Y,语言表!$F474+4,INDEX($F$2:$L$2,1,$G474+1))</f>
        <v>t_director_option0_2000000</v>
      </c>
      <c r="B474" t="str">
        <f>INDEX(最终表!$A:$Y,语言表!$F474+4,INDEX($F$1:$L$1,1,$G474+1))</f>
        <v>我知道了</v>
      </c>
      <c r="F474">
        <f t="shared" si="14"/>
        <v>152</v>
      </c>
      <c r="G474">
        <f t="shared" si="15"/>
        <v>2</v>
      </c>
    </row>
    <row r="475" spans="1:7" x14ac:dyDescent="0.15">
      <c r="A475" t="str">
        <f>INDEX(最终表!$A:$Y,语言表!$F475+4,INDEX($F$2:$L$2,1,$G475+1))</f>
        <v>t_director_option0_2000001</v>
      </c>
      <c r="B475" t="str">
        <f>INDEX(最终表!$A:$Y,语言表!$F475+4,INDEX($F$1:$L$1,1,$G475+1))</f>
        <v>好的</v>
      </c>
      <c r="F475">
        <f t="shared" si="14"/>
        <v>153</v>
      </c>
      <c r="G475">
        <f t="shared" si="15"/>
        <v>2</v>
      </c>
    </row>
    <row r="476" spans="1:7" x14ac:dyDescent="0.15">
      <c r="A476" t="str">
        <f>INDEX(最终表!$A:$Y,语言表!$F476+4,INDEX($F$2:$L$2,1,$G476+1))</f>
        <v>t_director_option0_2000002</v>
      </c>
      <c r="B476" t="str">
        <f>INDEX(最终表!$A:$Y,语言表!$F476+4,INDEX($F$1:$L$1,1,$G476+1))</f>
        <v>…</v>
      </c>
      <c r="F476">
        <f t="shared" si="14"/>
        <v>154</v>
      </c>
      <c r="G476">
        <f t="shared" si="15"/>
        <v>2</v>
      </c>
    </row>
    <row r="477" spans="1:7" x14ac:dyDescent="0.15">
      <c r="A477" t="str">
        <f>INDEX(最终表!$A:$Y,语言表!$F477+4,INDEX($F$2:$L$2,1,$G477+1))</f>
        <v>t_director_option0_2000003</v>
      </c>
      <c r="B477" t="str">
        <f>INDEX(最终表!$A:$Y,语言表!$F477+4,INDEX($F$1:$L$1,1,$G477+1))</f>
        <v>…</v>
      </c>
      <c r="F477">
        <f t="shared" si="14"/>
        <v>155</v>
      </c>
      <c r="G477">
        <f t="shared" si="15"/>
        <v>2</v>
      </c>
    </row>
    <row r="478" spans="1:7" x14ac:dyDescent="0.15">
      <c r="A478" t="str">
        <f>INDEX(最终表!$A:$Y,语言表!$F478+4,INDEX($F$2:$L$2,1,$G478+1))</f>
        <v>t_director_option0_2000004</v>
      </c>
      <c r="B478" t="str">
        <f>INDEX(最终表!$A:$Y,语言表!$F478+4,INDEX($F$1:$L$1,1,$G478+1))</f>
        <v>…</v>
      </c>
      <c r="F478">
        <f t="shared" si="14"/>
        <v>156</v>
      </c>
      <c r="G478">
        <f t="shared" si="15"/>
        <v>2</v>
      </c>
    </row>
    <row r="479" spans="1:7" x14ac:dyDescent="0.15">
      <c r="A479" t="str">
        <f>INDEX(最终表!$A:$Y,语言表!$F479+4,INDEX($F$2:$L$2,1,$G479+1))</f>
        <v>t_director_option0_2000005</v>
      </c>
      <c r="B479" t="str">
        <f>INDEX(最终表!$A:$Y,语言表!$F479+4,INDEX($F$1:$L$1,1,$G479+1))</f>
        <v>…</v>
      </c>
      <c r="F479">
        <f t="shared" si="14"/>
        <v>157</v>
      </c>
      <c r="G479">
        <f t="shared" si="15"/>
        <v>2</v>
      </c>
    </row>
    <row r="480" spans="1:7" x14ac:dyDescent="0.15">
      <c r="A480" t="str">
        <f>INDEX(最终表!$A:$Y,语言表!$F480+4,INDEX($F$2:$L$2,1,$G480+1))</f>
        <v>t_director_option0_2000006</v>
      </c>
      <c r="B480" t="str">
        <f>INDEX(最终表!$A:$Y,语言表!$F480+4,INDEX($F$1:$L$1,1,$G480+1))</f>
        <v>我知道了</v>
      </c>
      <c r="F480">
        <f t="shared" si="14"/>
        <v>158</v>
      </c>
      <c r="G480">
        <f t="shared" si="15"/>
        <v>2</v>
      </c>
    </row>
    <row r="481" spans="1:7" x14ac:dyDescent="0.15">
      <c r="A481" t="str">
        <f>INDEX(最终表!$A:$Y,语言表!$F481+4,INDEX($F$2:$L$2,1,$G481+1))</f>
        <v>t_director_option1_1100100</v>
      </c>
      <c r="B481" t="str">
        <f>INDEX(最终表!$A:$Y,语言表!$F481+4,INDEX($F$1:$L$1,1,$G481+1))</f>
        <v/>
      </c>
      <c r="F481">
        <f t="shared" si="14"/>
        <v>0</v>
      </c>
      <c r="G481">
        <f t="shared" si="15"/>
        <v>3</v>
      </c>
    </row>
    <row r="482" spans="1:7" x14ac:dyDescent="0.15">
      <c r="A482" t="str">
        <f>INDEX(最终表!$A:$Y,语言表!$F482+4,INDEX($F$2:$L$2,1,$G482+1))</f>
        <v>t_director_option1_1100101</v>
      </c>
      <c r="B482" t="str">
        <f>INDEX(最终表!$A:$Y,语言表!$F482+4,INDEX($F$1:$L$1,1,$G482+1))</f>
        <v>你真是个贤妻良母</v>
      </c>
      <c r="F482">
        <f t="shared" si="14"/>
        <v>1</v>
      </c>
      <c r="G482">
        <f t="shared" si="15"/>
        <v>3</v>
      </c>
    </row>
    <row r="483" spans="1:7" x14ac:dyDescent="0.15">
      <c r="A483" t="str">
        <f>INDEX(最终表!$A:$Y,语言表!$F483+4,INDEX($F$2:$L$2,1,$G483+1))</f>
        <v>t_director_option1_1100102</v>
      </c>
      <c r="B483" t="str">
        <f>INDEX(最终表!$A:$Y,语言表!$F483+4,INDEX($F$1:$L$1,1,$G483+1))</f>
        <v/>
      </c>
      <c r="F483">
        <f t="shared" si="14"/>
        <v>2</v>
      </c>
      <c r="G483">
        <f t="shared" si="15"/>
        <v>3</v>
      </c>
    </row>
    <row r="484" spans="1:7" x14ac:dyDescent="0.15">
      <c r="A484" t="str">
        <f>INDEX(最终表!$A:$Y,语言表!$F484+4,INDEX($F$2:$L$2,1,$G484+1))</f>
        <v>t_director_option1_1100200</v>
      </c>
      <c r="B484" t="str">
        <f>INDEX(最终表!$A:$Y,语言表!$F484+4,INDEX($F$1:$L$1,1,$G484+1))</f>
        <v/>
      </c>
      <c r="F484">
        <f t="shared" si="14"/>
        <v>3</v>
      </c>
      <c r="G484">
        <f t="shared" si="15"/>
        <v>3</v>
      </c>
    </row>
    <row r="485" spans="1:7" x14ac:dyDescent="0.15">
      <c r="A485" t="str">
        <f>INDEX(最终表!$A:$Y,语言表!$F485+4,INDEX($F$2:$L$2,1,$G485+1))</f>
        <v>t_director_option1_1100201</v>
      </c>
      <c r="B485" t="str">
        <f>INDEX(最终表!$A:$Y,语言表!$F485+4,INDEX($F$1:$L$1,1,$G485+1))</f>
        <v/>
      </c>
      <c r="F485">
        <f t="shared" si="14"/>
        <v>4</v>
      </c>
      <c r="G485">
        <f t="shared" si="15"/>
        <v>3</v>
      </c>
    </row>
    <row r="486" spans="1:7" x14ac:dyDescent="0.15">
      <c r="A486" t="str">
        <f>INDEX(最终表!$A:$Y,语言表!$F486+4,INDEX($F$2:$L$2,1,$G486+1))</f>
        <v>t_director_option1_1100202</v>
      </c>
      <c r="B486" t="str">
        <f>INDEX(最终表!$A:$Y,语言表!$F486+4,INDEX($F$1:$L$1,1,$G486+1))</f>
        <v/>
      </c>
      <c r="F486">
        <f t="shared" si="14"/>
        <v>5</v>
      </c>
      <c r="G486">
        <f t="shared" si="15"/>
        <v>3</v>
      </c>
    </row>
    <row r="487" spans="1:7" x14ac:dyDescent="0.15">
      <c r="A487" t="str">
        <f>INDEX(最终表!$A:$Y,语言表!$F487+4,INDEX($F$2:$L$2,1,$G487+1))</f>
        <v>t_director_option1_1100203</v>
      </c>
      <c r="B487" t="str">
        <f>INDEX(最终表!$A:$Y,语言表!$F487+4,INDEX($F$1:$L$1,1,$G487+1))</f>
        <v/>
      </c>
      <c r="F487">
        <f t="shared" si="14"/>
        <v>6</v>
      </c>
      <c r="G487">
        <f t="shared" si="15"/>
        <v>3</v>
      </c>
    </row>
    <row r="488" spans="1:7" x14ac:dyDescent="0.15">
      <c r="A488" t="str">
        <f>INDEX(最终表!$A:$Y,语言表!$F488+4,INDEX($F$2:$L$2,1,$G488+1))</f>
        <v>t_director_option1_1100300</v>
      </c>
      <c r="B488" t="str">
        <f>INDEX(最终表!$A:$Y,语言表!$F488+4,INDEX($F$1:$L$1,1,$G488+1))</f>
        <v/>
      </c>
      <c r="F488">
        <f t="shared" si="14"/>
        <v>7</v>
      </c>
      <c r="G488">
        <f t="shared" si="15"/>
        <v>3</v>
      </c>
    </row>
    <row r="489" spans="1:7" x14ac:dyDescent="0.15">
      <c r="A489" t="str">
        <f>INDEX(最终表!$A:$Y,语言表!$F489+4,INDEX($F$2:$L$2,1,$G489+1))</f>
        <v>t_director_option1_1100301</v>
      </c>
      <c r="B489" t="str">
        <f>INDEX(最终表!$A:$Y,语言表!$F489+4,INDEX($F$1:$L$1,1,$G489+1))</f>
        <v/>
      </c>
      <c r="F489">
        <f t="shared" si="14"/>
        <v>8</v>
      </c>
      <c r="G489">
        <f t="shared" si="15"/>
        <v>3</v>
      </c>
    </row>
    <row r="490" spans="1:7" x14ac:dyDescent="0.15">
      <c r="A490" t="str">
        <f>INDEX(最终表!$A:$Y,语言表!$F490+4,INDEX($F$2:$L$2,1,$G490+1))</f>
        <v>t_director_option1_1100400</v>
      </c>
      <c r="B490" t="str">
        <f>INDEX(最终表!$A:$Y,语言表!$F490+4,INDEX($F$1:$L$1,1,$G490+1))</f>
        <v/>
      </c>
      <c r="F490">
        <f t="shared" si="14"/>
        <v>9</v>
      </c>
      <c r="G490">
        <f t="shared" si="15"/>
        <v>3</v>
      </c>
    </row>
    <row r="491" spans="1:7" x14ac:dyDescent="0.15">
      <c r="A491" t="str">
        <f>INDEX(最终表!$A:$Y,语言表!$F491+4,INDEX($F$2:$L$2,1,$G491+1))</f>
        <v>t_director_option1_1100401</v>
      </c>
      <c r="B491" t="str">
        <f>INDEX(最终表!$A:$Y,语言表!$F491+4,INDEX($F$1:$L$1,1,$G491+1))</f>
        <v/>
      </c>
      <c r="F491">
        <f t="shared" si="14"/>
        <v>10</v>
      </c>
      <c r="G491">
        <f t="shared" si="15"/>
        <v>3</v>
      </c>
    </row>
    <row r="492" spans="1:7" x14ac:dyDescent="0.15">
      <c r="A492" t="str">
        <f>INDEX(最终表!$A:$Y,语言表!$F492+4,INDEX($F$2:$L$2,1,$G492+1))</f>
        <v>t_director_option1_1100450</v>
      </c>
      <c r="B492" t="str">
        <f>INDEX(最终表!$A:$Y,语言表!$F492+4,INDEX($F$1:$L$1,1,$G492+1))</f>
        <v/>
      </c>
      <c r="F492">
        <f t="shared" si="14"/>
        <v>11</v>
      </c>
      <c r="G492">
        <f t="shared" si="15"/>
        <v>3</v>
      </c>
    </row>
    <row r="493" spans="1:7" x14ac:dyDescent="0.15">
      <c r="A493" t="str">
        <f>INDEX(最终表!$A:$Y,语言表!$F493+4,INDEX($F$2:$L$2,1,$G493+1))</f>
        <v>t_director_option1_1100451</v>
      </c>
      <c r="B493" t="str">
        <f>INDEX(最终表!$A:$Y,语言表!$F493+4,INDEX($F$1:$L$1,1,$G493+1))</f>
        <v/>
      </c>
      <c r="F493">
        <f t="shared" si="14"/>
        <v>12</v>
      </c>
      <c r="G493">
        <f t="shared" si="15"/>
        <v>3</v>
      </c>
    </row>
    <row r="494" spans="1:7" x14ac:dyDescent="0.15">
      <c r="A494" t="str">
        <f>INDEX(最终表!$A:$Y,语言表!$F494+4,INDEX($F$2:$L$2,1,$G494+1))</f>
        <v>t_director_option1_1100480</v>
      </c>
      <c r="B494" t="str">
        <f>INDEX(最终表!$A:$Y,语言表!$F494+4,INDEX($F$1:$L$1,1,$G494+1))</f>
        <v>我继续去讨伐</v>
      </c>
      <c r="F494">
        <f t="shared" si="14"/>
        <v>13</v>
      </c>
      <c r="G494">
        <f t="shared" si="15"/>
        <v>3</v>
      </c>
    </row>
    <row r="495" spans="1:7" x14ac:dyDescent="0.15">
      <c r="A495" t="str">
        <f>INDEX(最终表!$A:$Y,语言表!$F495+4,INDEX($F$2:$L$2,1,$G495+1))</f>
        <v>t_director_option1_1100481</v>
      </c>
      <c r="B495" t="str">
        <f>INDEX(最终表!$A:$Y,语言表!$F495+4,INDEX($F$1:$L$1,1,$G495+1))</f>
        <v/>
      </c>
      <c r="F495">
        <f t="shared" si="14"/>
        <v>14</v>
      </c>
      <c r="G495">
        <f t="shared" si="15"/>
        <v>3</v>
      </c>
    </row>
    <row r="496" spans="1:7" x14ac:dyDescent="0.15">
      <c r="A496" t="str">
        <f>INDEX(最终表!$A:$Y,语言表!$F496+4,INDEX($F$2:$L$2,1,$G496+1))</f>
        <v>t_director_option1_1100500</v>
      </c>
      <c r="B496" t="str">
        <f>INDEX(最终表!$A:$Y,语言表!$F496+4,INDEX($F$1:$L$1,1,$G496+1))</f>
        <v/>
      </c>
      <c r="F496">
        <f t="shared" si="14"/>
        <v>15</v>
      </c>
      <c r="G496">
        <f t="shared" si="15"/>
        <v>3</v>
      </c>
    </row>
    <row r="497" spans="1:7" x14ac:dyDescent="0.15">
      <c r="A497" t="str">
        <f>INDEX(最终表!$A:$Y,语言表!$F497+4,INDEX($F$2:$L$2,1,$G497+1))</f>
        <v>t_director_option1_1100501</v>
      </c>
      <c r="B497" t="str">
        <f>INDEX(最终表!$A:$Y,语言表!$F497+4,INDEX($F$1:$L$1,1,$G497+1))</f>
        <v/>
      </c>
      <c r="F497">
        <f t="shared" si="14"/>
        <v>16</v>
      </c>
      <c r="G497">
        <f t="shared" si="15"/>
        <v>3</v>
      </c>
    </row>
    <row r="498" spans="1:7" x14ac:dyDescent="0.15">
      <c r="A498" t="str">
        <f>INDEX(最终表!$A:$Y,语言表!$F498+4,INDEX($F$2:$L$2,1,$G498+1))</f>
        <v>t_director_option1_1100550</v>
      </c>
      <c r="B498" t="str">
        <f>INDEX(最终表!$A:$Y,语言表!$F498+4,INDEX($F$1:$L$1,1,$G498+1))</f>
        <v/>
      </c>
      <c r="F498">
        <f t="shared" si="14"/>
        <v>17</v>
      </c>
      <c r="G498">
        <f t="shared" si="15"/>
        <v>3</v>
      </c>
    </row>
    <row r="499" spans="1:7" x14ac:dyDescent="0.15">
      <c r="A499" t="str">
        <f>INDEX(最终表!$A:$Y,语言表!$F499+4,INDEX($F$2:$L$2,1,$G499+1))</f>
        <v>t_director_option1_1100551</v>
      </c>
      <c r="B499" t="str">
        <f>INDEX(最终表!$A:$Y,语言表!$F499+4,INDEX($F$1:$L$1,1,$G499+1))</f>
        <v/>
      </c>
      <c r="F499">
        <f t="shared" si="14"/>
        <v>18</v>
      </c>
      <c r="G499">
        <f t="shared" si="15"/>
        <v>3</v>
      </c>
    </row>
    <row r="500" spans="1:7" x14ac:dyDescent="0.15">
      <c r="A500" t="str">
        <f>INDEX(最终表!$A:$Y,语言表!$F500+4,INDEX($F$2:$L$2,1,$G500+1))</f>
        <v>t_director_option1_1100552</v>
      </c>
      <c r="B500" t="str">
        <f>INDEX(最终表!$A:$Y,语言表!$F500+4,INDEX($F$1:$L$1,1,$G500+1))</f>
        <v/>
      </c>
      <c r="F500">
        <f t="shared" si="14"/>
        <v>19</v>
      </c>
      <c r="G500">
        <f t="shared" si="15"/>
        <v>3</v>
      </c>
    </row>
    <row r="501" spans="1:7" x14ac:dyDescent="0.15">
      <c r="A501" t="str">
        <f>INDEX(最终表!$A:$Y,语言表!$F501+4,INDEX($F$2:$L$2,1,$G501+1))</f>
        <v>t_director_option1_1100553</v>
      </c>
      <c r="B501" t="str">
        <f>INDEX(最终表!$A:$Y,语言表!$F501+4,INDEX($F$1:$L$1,1,$G501+1))</f>
        <v/>
      </c>
      <c r="F501">
        <f t="shared" si="14"/>
        <v>20</v>
      </c>
      <c r="G501">
        <f t="shared" si="15"/>
        <v>3</v>
      </c>
    </row>
    <row r="502" spans="1:7" x14ac:dyDescent="0.15">
      <c r="A502" t="str">
        <f>INDEX(最终表!$A:$Y,语言表!$F502+4,INDEX($F$2:$L$2,1,$G502+1))</f>
        <v>t_director_option1_1100580</v>
      </c>
      <c r="B502" t="str">
        <f>INDEX(最终表!$A:$Y,语言表!$F502+4,INDEX($F$1:$L$1,1,$G502+1))</f>
        <v/>
      </c>
      <c r="F502">
        <f t="shared" si="14"/>
        <v>21</v>
      </c>
      <c r="G502">
        <f t="shared" si="15"/>
        <v>3</v>
      </c>
    </row>
    <row r="503" spans="1:7" x14ac:dyDescent="0.15">
      <c r="A503" t="str">
        <f>INDEX(最终表!$A:$Y,语言表!$F503+4,INDEX($F$2:$L$2,1,$G503+1))</f>
        <v>t_director_option1_1100581</v>
      </c>
      <c r="B503" t="str">
        <f>INDEX(最终表!$A:$Y,语言表!$F503+4,INDEX($F$1:$L$1,1,$G503+1))</f>
        <v/>
      </c>
      <c r="F503">
        <f t="shared" si="14"/>
        <v>22</v>
      </c>
      <c r="G503">
        <f t="shared" si="15"/>
        <v>3</v>
      </c>
    </row>
    <row r="504" spans="1:7" x14ac:dyDescent="0.15">
      <c r="A504" t="str">
        <f>INDEX(最终表!$A:$Y,语言表!$F504+4,INDEX($F$2:$L$2,1,$G504+1))</f>
        <v>t_director_option1_1100600</v>
      </c>
      <c r="B504" t="str">
        <f>INDEX(最终表!$A:$Y,语言表!$F504+4,INDEX($F$1:$L$1,1,$G504+1))</f>
        <v/>
      </c>
      <c r="F504">
        <f t="shared" si="14"/>
        <v>23</v>
      </c>
      <c r="G504">
        <f t="shared" si="15"/>
        <v>3</v>
      </c>
    </row>
    <row r="505" spans="1:7" x14ac:dyDescent="0.15">
      <c r="A505" t="str">
        <f>INDEX(最终表!$A:$Y,语言表!$F505+4,INDEX($F$2:$L$2,1,$G505+1))</f>
        <v>t_director_option1_1100601</v>
      </c>
      <c r="B505" t="str">
        <f>INDEX(最终表!$A:$Y,语言表!$F505+4,INDEX($F$1:$L$1,1,$G505+1))</f>
        <v/>
      </c>
      <c r="F505">
        <f t="shared" si="14"/>
        <v>24</v>
      </c>
      <c r="G505">
        <f t="shared" si="15"/>
        <v>3</v>
      </c>
    </row>
    <row r="506" spans="1:7" x14ac:dyDescent="0.15">
      <c r="A506" t="str">
        <f>INDEX(最终表!$A:$Y,语言表!$F506+4,INDEX($F$2:$L$2,1,$G506+1))</f>
        <v>t_director_option1_1100602</v>
      </c>
      <c r="B506" t="str">
        <f>INDEX(最终表!$A:$Y,语言表!$F506+4,INDEX($F$1:$L$1,1,$G506+1))</f>
        <v>巫婆为什么被神殿驱逐</v>
      </c>
      <c r="F506">
        <f t="shared" si="14"/>
        <v>25</v>
      </c>
      <c r="G506">
        <f t="shared" si="15"/>
        <v>3</v>
      </c>
    </row>
    <row r="507" spans="1:7" x14ac:dyDescent="0.15">
      <c r="A507" t="str">
        <f>INDEX(最终表!$A:$Y,语言表!$F507+4,INDEX($F$2:$L$2,1,$G507+1))</f>
        <v>t_director_option1_1100603</v>
      </c>
      <c r="B507" t="str">
        <f>INDEX(最终表!$A:$Y,语言表!$F507+4,INDEX($F$1:$L$1,1,$G507+1))</f>
        <v/>
      </c>
      <c r="F507">
        <f t="shared" si="14"/>
        <v>26</v>
      </c>
      <c r="G507">
        <f t="shared" si="15"/>
        <v>3</v>
      </c>
    </row>
    <row r="508" spans="1:7" x14ac:dyDescent="0.15">
      <c r="A508" t="str">
        <f>INDEX(最终表!$A:$Y,语言表!$F508+4,INDEX($F$2:$L$2,1,$G508+1))</f>
        <v>t_director_option1_1100604</v>
      </c>
      <c r="B508" t="str">
        <f>INDEX(最终表!$A:$Y,语言表!$F508+4,INDEX($F$1:$L$1,1,$G508+1))</f>
        <v/>
      </c>
      <c r="F508">
        <f t="shared" si="14"/>
        <v>27</v>
      </c>
      <c r="G508">
        <f t="shared" si="15"/>
        <v>3</v>
      </c>
    </row>
    <row r="509" spans="1:7" x14ac:dyDescent="0.15">
      <c r="A509" t="str">
        <f>INDEX(最终表!$A:$Y,语言表!$F509+4,INDEX($F$2:$L$2,1,$G509+1))</f>
        <v>t_director_option1_1100700</v>
      </c>
      <c r="B509" t="str">
        <f>INDEX(最终表!$A:$Y,语言表!$F509+4,INDEX($F$1:$L$1,1,$G509+1))</f>
        <v/>
      </c>
      <c r="F509">
        <f t="shared" si="14"/>
        <v>28</v>
      </c>
      <c r="G509">
        <f t="shared" si="15"/>
        <v>3</v>
      </c>
    </row>
    <row r="510" spans="1:7" x14ac:dyDescent="0.15">
      <c r="A510" t="str">
        <f>INDEX(最终表!$A:$Y,语言表!$F510+4,INDEX($F$2:$L$2,1,$G510+1))</f>
        <v>t_director_option1_1100701</v>
      </c>
      <c r="B510" t="str">
        <f>INDEX(最终表!$A:$Y,语言表!$F510+4,INDEX($F$1:$L$1,1,$G510+1))</f>
        <v/>
      </c>
      <c r="F510">
        <f t="shared" si="14"/>
        <v>29</v>
      </c>
      <c r="G510">
        <f t="shared" si="15"/>
        <v>3</v>
      </c>
    </row>
    <row r="511" spans="1:7" x14ac:dyDescent="0.15">
      <c r="A511" t="str">
        <f>INDEX(最终表!$A:$Y,语言表!$F511+4,INDEX($F$2:$L$2,1,$G511+1))</f>
        <v>t_director_option1_1100702</v>
      </c>
      <c r="B511" t="str">
        <f>INDEX(最终表!$A:$Y,语言表!$F511+4,INDEX($F$1:$L$1,1,$G511+1))</f>
        <v/>
      </c>
      <c r="F511">
        <f t="shared" si="14"/>
        <v>30</v>
      </c>
      <c r="G511">
        <f t="shared" si="15"/>
        <v>3</v>
      </c>
    </row>
    <row r="512" spans="1:7" x14ac:dyDescent="0.15">
      <c r="A512" t="str">
        <f>INDEX(最终表!$A:$Y,语言表!$F512+4,INDEX($F$2:$L$2,1,$G512+1))</f>
        <v>t_director_option1_1100800</v>
      </c>
      <c r="B512" t="str">
        <f>INDEX(最终表!$A:$Y,语言表!$F512+4,INDEX($F$1:$L$1,1,$G512+1))</f>
        <v>我还没去，我这就去</v>
      </c>
      <c r="F512">
        <f t="shared" si="14"/>
        <v>31</v>
      </c>
      <c r="G512">
        <f t="shared" si="15"/>
        <v>3</v>
      </c>
    </row>
    <row r="513" spans="1:7" x14ac:dyDescent="0.15">
      <c r="A513" t="str">
        <f>INDEX(最终表!$A:$Y,语言表!$F513+4,INDEX($F$2:$L$2,1,$G513+1))</f>
        <v>t_director_option1_1100801</v>
      </c>
      <c r="B513" t="str">
        <f>INDEX(最终表!$A:$Y,语言表!$F513+4,INDEX($F$1:$L$1,1,$G513+1))</f>
        <v/>
      </c>
      <c r="F513">
        <f t="shared" si="14"/>
        <v>32</v>
      </c>
      <c r="G513">
        <f t="shared" si="15"/>
        <v>3</v>
      </c>
    </row>
    <row r="514" spans="1:7" x14ac:dyDescent="0.15">
      <c r="A514" t="str">
        <f>INDEX(最终表!$A:$Y,语言表!$F514+4,INDEX($F$2:$L$2,1,$G514+1))</f>
        <v>t_director_option1_1100802</v>
      </c>
      <c r="B514" t="str">
        <f>INDEX(最终表!$A:$Y,语言表!$F514+4,INDEX($F$1:$L$1,1,$G514+1))</f>
        <v/>
      </c>
      <c r="F514">
        <f t="shared" si="14"/>
        <v>33</v>
      </c>
      <c r="G514">
        <f t="shared" si="15"/>
        <v>3</v>
      </c>
    </row>
    <row r="515" spans="1:7" x14ac:dyDescent="0.15">
      <c r="A515" t="str">
        <f>INDEX(最终表!$A:$Y,语言表!$F515+4,INDEX($F$2:$L$2,1,$G515+1))</f>
        <v>t_director_option1_1100803</v>
      </c>
      <c r="B515" t="str">
        <f>INDEX(最终表!$A:$Y,语言表!$F515+4,INDEX($F$1:$L$1,1,$G515+1))</f>
        <v/>
      </c>
      <c r="F515">
        <f t="shared" si="14"/>
        <v>34</v>
      </c>
      <c r="G515">
        <f t="shared" si="15"/>
        <v>3</v>
      </c>
    </row>
    <row r="516" spans="1:7" x14ac:dyDescent="0.15">
      <c r="A516" t="str">
        <f>INDEX(最终表!$A:$Y,语言表!$F516+4,INDEX($F$2:$L$2,1,$G516+1))</f>
        <v>t_director_option1_1100804</v>
      </c>
      <c r="B516" t="str">
        <f>INDEX(最终表!$A:$Y,语言表!$F516+4,INDEX($F$1:$L$1,1,$G516+1))</f>
        <v>以前的考官？</v>
      </c>
      <c r="F516">
        <f t="shared" si="14"/>
        <v>35</v>
      </c>
      <c r="G516">
        <f t="shared" si="15"/>
        <v>3</v>
      </c>
    </row>
    <row r="517" spans="1:7" x14ac:dyDescent="0.15">
      <c r="A517" t="str">
        <f>INDEX(最终表!$A:$Y,语言表!$F517+4,INDEX($F$2:$L$2,1,$G517+1))</f>
        <v>t_director_option1_1100805</v>
      </c>
      <c r="B517" t="str">
        <f>INDEX(最终表!$A:$Y,语言表!$F517+4,INDEX($F$1:$L$1,1,$G517+1))</f>
        <v/>
      </c>
      <c r="F517">
        <f t="shared" ref="F517:F580" si="16">MOD(ROW()-4,$N$1-3)</f>
        <v>36</v>
      </c>
      <c r="G517">
        <f t="shared" ref="G517:G580" si="17">INT((ROW()-4)/($N$1-3))</f>
        <v>3</v>
      </c>
    </row>
    <row r="518" spans="1:7" x14ac:dyDescent="0.15">
      <c r="A518" t="str">
        <f>INDEX(最终表!$A:$Y,语言表!$F518+4,INDEX($F$2:$L$2,1,$G518+1))</f>
        <v>t_director_option1_1100900</v>
      </c>
      <c r="B518" t="str">
        <f>INDEX(最终表!$A:$Y,语言表!$F518+4,INDEX($F$1:$L$1,1,$G518+1))</f>
        <v/>
      </c>
      <c r="F518">
        <f t="shared" si="16"/>
        <v>37</v>
      </c>
      <c r="G518">
        <f t="shared" si="17"/>
        <v>3</v>
      </c>
    </row>
    <row r="519" spans="1:7" x14ac:dyDescent="0.15">
      <c r="A519" t="str">
        <f>INDEX(最终表!$A:$Y,语言表!$F519+4,INDEX($F$2:$L$2,1,$G519+1))</f>
        <v>t_director_option1_1100901</v>
      </c>
      <c r="B519" t="str">
        <f>INDEX(最终表!$A:$Y,语言表!$F519+4,INDEX($F$1:$L$1,1,$G519+1))</f>
        <v/>
      </c>
      <c r="F519">
        <f t="shared" si="16"/>
        <v>38</v>
      </c>
      <c r="G519">
        <f t="shared" si="17"/>
        <v>3</v>
      </c>
    </row>
    <row r="520" spans="1:7" x14ac:dyDescent="0.15">
      <c r="A520" t="str">
        <f>INDEX(最终表!$A:$Y,语言表!$F520+4,INDEX($F$2:$L$2,1,$G520+1))</f>
        <v>t_director_option1_1100902</v>
      </c>
      <c r="B520" t="str">
        <f>INDEX(最终表!$A:$Y,语言表!$F520+4,INDEX($F$1:$L$1,1,$G520+1))</f>
        <v/>
      </c>
      <c r="F520">
        <f t="shared" si="16"/>
        <v>39</v>
      </c>
      <c r="G520">
        <f t="shared" si="17"/>
        <v>3</v>
      </c>
    </row>
    <row r="521" spans="1:7" x14ac:dyDescent="0.15">
      <c r="A521" t="str">
        <f>INDEX(最终表!$A:$Y,语言表!$F521+4,INDEX($F$2:$L$2,1,$G521+1))</f>
        <v>t_director_option1_1100903</v>
      </c>
      <c r="B521" t="str">
        <f>INDEX(最终表!$A:$Y,语言表!$F521+4,INDEX($F$1:$L$1,1,$G521+1))</f>
        <v/>
      </c>
      <c r="F521">
        <f t="shared" si="16"/>
        <v>40</v>
      </c>
      <c r="G521">
        <f t="shared" si="17"/>
        <v>3</v>
      </c>
    </row>
    <row r="522" spans="1:7" x14ac:dyDescent="0.15">
      <c r="A522" t="str">
        <f>INDEX(最终表!$A:$Y,语言表!$F522+4,INDEX($F$2:$L$2,1,$G522+1))</f>
        <v>t_director_option1_1100904</v>
      </c>
      <c r="B522" t="str">
        <f>INDEX(最终表!$A:$Y,语言表!$F522+4,INDEX($F$1:$L$1,1,$G522+1))</f>
        <v>不是</v>
      </c>
      <c r="F522">
        <f t="shared" si="16"/>
        <v>41</v>
      </c>
      <c r="G522">
        <f t="shared" si="17"/>
        <v>3</v>
      </c>
    </row>
    <row r="523" spans="1:7" x14ac:dyDescent="0.15">
      <c r="A523" t="str">
        <f>INDEX(最终表!$A:$Y,语言表!$F523+4,INDEX($F$2:$L$2,1,$G523+1))</f>
        <v>t_director_option1_1100905</v>
      </c>
      <c r="B523" t="str">
        <f>INDEX(最终表!$A:$Y,语言表!$F523+4,INDEX($F$1:$L$1,1,$G523+1))</f>
        <v/>
      </c>
      <c r="F523">
        <f t="shared" si="16"/>
        <v>42</v>
      </c>
      <c r="G523">
        <f t="shared" si="17"/>
        <v>3</v>
      </c>
    </row>
    <row r="524" spans="1:7" x14ac:dyDescent="0.15">
      <c r="A524" t="str">
        <f>INDEX(最终表!$A:$Y,语言表!$F524+4,INDEX($F$2:$L$2,1,$G524+1))</f>
        <v>t_director_option1_1100906</v>
      </c>
      <c r="B524" t="str">
        <f>INDEX(最终表!$A:$Y,语言表!$F524+4,INDEX($F$1:$L$1,1,$G524+1))</f>
        <v>40分钟</v>
      </c>
      <c r="F524">
        <f t="shared" si="16"/>
        <v>43</v>
      </c>
      <c r="G524">
        <f t="shared" si="17"/>
        <v>3</v>
      </c>
    </row>
    <row r="525" spans="1:7" x14ac:dyDescent="0.15">
      <c r="A525" t="str">
        <f>INDEX(最终表!$A:$Y,语言表!$F525+4,INDEX($F$2:$L$2,1,$G525+1))</f>
        <v>t_director_option1_1100907</v>
      </c>
      <c r="B525" t="str">
        <f>INDEX(最终表!$A:$Y,语言表!$F525+4,INDEX($F$1:$L$1,1,$G525+1))</f>
        <v>2个</v>
      </c>
      <c r="F525">
        <f t="shared" si="16"/>
        <v>44</v>
      </c>
      <c r="G525">
        <f t="shared" si="17"/>
        <v>3</v>
      </c>
    </row>
    <row r="526" spans="1:7" x14ac:dyDescent="0.15">
      <c r="A526" t="str">
        <f>INDEX(最终表!$A:$Y,语言表!$F526+4,INDEX($F$2:$L$2,1,$G526+1))</f>
        <v>t_director_option1_1100908</v>
      </c>
      <c r="B526" t="str">
        <f>INDEX(最终表!$A:$Y,语言表!$F526+4,INDEX($F$1:$L$1,1,$G526+1))</f>
        <v>好难</v>
      </c>
      <c r="F526">
        <f t="shared" si="16"/>
        <v>45</v>
      </c>
      <c r="G526">
        <f t="shared" si="17"/>
        <v>3</v>
      </c>
    </row>
    <row r="527" spans="1:7" x14ac:dyDescent="0.15">
      <c r="A527" t="str">
        <f>INDEX(最终表!$A:$Y,语言表!$F527+4,INDEX($F$2:$L$2,1,$G527+1))</f>
        <v>t_director_option1_1100909</v>
      </c>
      <c r="B527" t="str">
        <f>INDEX(最终表!$A:$Y,语言表!$F527+4,INDEX($F$1:$L$1,1,$G527+1))</f>
        <v/>
      </c>
      <c r="F527">
        <f t="shared" si="16"/>
        <v>46</v>
      </c>
      <c r="G527">
        <f t="shared" si="17"/>
        <v>3</v>
      </c>
    </row>
    <row r="528" spans="1:7" x14ac:dyDescent="0.15">
      <c r="A528" t="str">
        <f>INDEX(最终表!$A:$Y,语言表!$F528+4,INDEX($F$2:$L$2,1,$G528+1))</f>
        <v>t_director_option1_1100910</v>
      </c>
      <c r="B528" t="str">
        <f>INDEX(最终表!$A:$Y,语言表!$F528+4,INDEX($F$1:$L$1,1,$G528+1))</f>
        <v/>
      </c>
      <c r="F528">
        <f t="shared" si="16"/>
        <v>47</v>
      </c>
      <c r="G528">
        <f t="shared" si="17"/>
        <v>3</v>
      </c>
    </row>
    <row r="529" spans="1:7" x14ac:dyDescent="0.15">
      <c r="A529" t="str">
        <f>INDEX(最终表!$A:$Y,语言表!$F529+4,INDEX($F$2:$L$2,1,$G529+1))</f>
        <v>t_director_option1_1100911</v>
      </c>
      <c r="B529" t="str">
        <f>INDEX(最终表!$A:$Y,语言表!$F529+4,INDEX($F$1:$L$1,1,$G529+1))</f>
        <v/>
      </c>
      <c r="F529">
        <f t="shared" si="16"/>
        <v>48</v>
      </c>
      <c r="G529">
        <f t="shared" si="17"/>
        <v>3</v>
      </c>
    </row>
    <row r="530" spans="1:7" x14ac:dyDescent="0.15">
      <c r="A530" t="str">
        <f>INDEX(最终表!$A:$Y,语言表!$F530+4,INDEX($F$2:$L$2,1,$G530+1))</f>
        <v>t_director_option1_1100912</v>
      </c>
      <c r="B530" t="str">
        <f>INDEX(最终表!$A:$Y,语言表!$F530+4,INDEX($F$1:$L$1,1,$G530+1))</f>
        <v/>
      </c>
      <c r="F530">
        <f t="shared" si="16"/>
        <v>49</v>
      </c>
      <c r="G530">
        <f t="shared" si="17"/>
        <v>3</v>
      </c>
    </row>
    <row r="531" spans="1:7" x14ac:dyDescent="0.15">
      <c r="A531" t="str">
        <f>INDEX(最终表!$A:$Y,语言表!$F531+4,INDEX($F$2:$L$2,1,$G531+1))</f>
        <v>t_director_option1_1101000</v>
      </c>
      <c r="B531" t="str">
        <f>INDEX(最终表!$A:$Y,语言表!$F531+4,INDEX($F$1:$L$1,1,$G531+1))</f>
        <v/>
      </c>
      <c r="F531">
        <f t="shared" si="16"/>
        <v>50</v>
      </c>
      <c r="G531">
        <f t="shared" si="17"/>
        <v>3</v>
      </c>
    </row>
    <row r="532" spans="1:7" x14ac:dyDescent="0.15">
      <c r="A532" t="str">
        <f>INDEX(最终表!$A:$Y,语言表!$F532+4,INDEX($F$2:$L$2,1,$G532+1))</f>
        <v>t_director_option1_1101001</v>
      </c>
      <c r="B532" t="str">
        <f>INDEX(最终表!$A:$Y,语言表!$F532+4,INDEX($F$1:$L$1,1,$G532+1))</f>
        <v/>
      </c>
      <c r="F532">
        <f t="shared" si="16"/>
        <v>51</v>
      </c>
      <c r="G532">
        <f t="shared" si="17"/>
        <v>3</v>
      </c>
    </row>
    <row r="533" spans="1:7" x14ac:dyDescent="0.15">
      <c r="A533" t="str">
        <f>INDEX(最终表!$A:$Y,语言表!$F533+4,INDEX($F$2:$L$2,1,$G533+1))</f>
        <v>t_director_option1_1101002</v>
      </c>
      <c r="B533" t="str">
        <f>INDEX(最终表!$A:$Y,语言表!$F533+4,INDEX($F$1:$L$1,1,$G533+1))</f>
        <v>我还在忙，以后再来</v>
      </c>
      <c r="F533">
        <f t="shared" si="16"/>
        <v>52</v>
      </c>
      <c r="G533">
        <f t="shared" si="17"/>
        <v>3</v>
      </c>
    </row>
    <row r="534" spans="1:7" x14ac:dyDescent="0.15">
      <c r="A534" t="str">
        <f>INDEX(最终表!$A:$Y,语言表!$F534+4,INDEX($F$2:$L$2,1,$G534+1))</f>
        <v>t_director_option1_1101100</v>
      </c>
      <c r="B534" t="str">
        <f>INDEX(最终表!$A:$Y,语言表!$F534+4,INDEX($F$1:$L$1,1,$G534+1))</f>
        <v>我继续去战斗</v>
      </c>
      <c r="F534">
        <f t="shared" si="16"/>
        <v>53</v>
      </c>
      <c r="G534">
        <f t="shared" si="17"/>
        <v>3</v>
      </c>
    </row>
    <row r="535" spans="1:7" x14ac:dyDescent="0.15">
      <c r="A535" t="str">
        <f>INDEX(最终表!$A:$Y,语言表!$F535+4,INDEX($F$2:$L$2,1,$G535+1))</f>
        <v>t_director_option1_1101101</v>
      </c>
      <c r="B535" t="str">
        <f>INDEX(最终表!$A:$Y,语言表!$F535+4,INDEX($F$1:$L$1,1,$G535+1))</f>
        <v>等我更强大我再去</v>
      </c>
      <c r="F535">
        <f t="shared" si="16"/>
        <v>54</v>
      </c>
      <c r="G535">
        <f t="shared" si="17"/>
        <v>3</v>
      </c>
    </row>
    <row r="536" spans="1:7" x14ac:dyDescent="0.15">
      <c r="A536" t="str">
        <f>INDEX(最终表!$A:$Y,语言表!$F536+4,INDEX($F$2:$L$2,1,$G536+1))</f>
        <v>t_director_option1_1101110</v>
      </c>
      <c r="B536" t="str">
        <f>INDEX(最终表!$A:$Y,语言表!$F536+4,INDEX($F$1:$L$1,1,$G536+1))</f>
        <v>我继续去战斗</v>
      </c>
      <c r="F536">
        <f t="shared" si="16"/>
        <v>55</v>
      </c>
      <c r="G536">
        <f t="shared" si="17"/>
        <v>3</v>
      </c>
    </row>
    <row r="537" spans="1:7" x14ac:dyDescent="0.15">
      <c r="A537" t="str">
        <f>INDEX(最终表!$A:$Y,语言表!$F537+4,INDEX($F$2:$L$2,1,$G537+1))</f>
        <v>t_director_option1_1101111</v>
      </c>
      <c r="B537" t="str">
        <f>INDEX(最终表!$A:$Y,语言表!$F537+4,INDEX($F$1:$L$1,1,$G537+1))</f>
        <v/>
      </c>
      <c r="F537">
        <f t="shared" si="16"/>
        <v>56</v>
      </c>
      <c r="G537">
        <f t="shared" si="17"/>
        <v>3</v>
      </c>
    </row>
    <row r="538" spans="1:7" x14ac:dyDescent="0.15">
      <c r="A538" t="str">
        <f>INDEX(最终表!$A:$Y,语言表!$F538+4,INDEX($F$2:$L$2,1,$G538+1))</f>
        <v>t_director_option1_1101112</v>
      </c>
      <c r="B538" t="str">
        <f>INDEX(最终表!$A:$Y,语言表!$F538+4,INDEX($F$1:$L$1,1,$G538+1))</f>
        <v/>
      </c>
      <c r="F538">
        <f t="shared" si="16"/>
        <v>57</v>
      </c>
      <c r="G538">
        <f t="shared" si="17"/>
        <v>3</v>
      </c>
    </row>
    <row r="539" spans="1:7" x14ac:dyDescent="0.15">
      <c r="A539" t="str">
        <f>INDEX(最终表!$A:$Y,语言表!$F539+4,INDEX($F$2:$L$2,1,$G539+1))</f>
        <v>t_director_option1_1101150</v>
      </c>
      <c r="B539" t="str">
        <f>INDEX(最终表!$A:$Y,语言表!$F539+4,INDEX($F$1:$L$1,1,$G539+1))</f>
        <v/>
      </c>
      <c r="F539">
        <f t="shared" si="16"/>
        <v>58</v>
      </c>
      <c r="G539">
        <f t="shared" si="17"/>
        <v>3</v>
      </c>
    </row>
    <row r="540" spans="1:7" x14ac:dyDescent="0.15">
      <c r="A540" t="str">
        <f>INDEX(最终表!$A:$Y,语言表!$F540+4,INDEX($F$2:$L$2,1,$G540+1))</f>
        <v>t_director_option1_1101151</v>
      </c>
      <c r="B540" t="str">
        <f>INDEX(最终表!$A:$Y,语言表!$F540+4,INDEX($F$1:$L$1,1,$G540+1))</f>
        <v/>
      </c>
      <c r="F540">
        <f t="shared" si="16"/>
        <v>59</v>
      </c>
      <c r="G540">
        <f t="shared" si="17"/>
        <v>3</v>
      </c>
    </row>
    <row r="541" spans="1:7" x14ac:dyDescent="0.15">
      <c r="A541" t="str">
        <f>INDEX(最终表!$A:$Y,语言表!$F541+4,INDEX($F$2:$L$2,1,$G541+1))</f>
        <v>t_director_option1_1101152</v>
      </c>
      <c r="B541" t="str">
        <f>INDEX(最终表!$A:$Y,语言表!$F541+4,INDEX($F$1:$L$1,1,$G541+1))</f>
        <v>是我</v>
      </c>
      <c r="F541">
        <f t="shared" si="16"/>
        <v>60</v>
      </c>
      <c r="G541">
        <f t="shared" si="17"/>
        <v>3</v>
      </c>
    </row>
    <row r="542" spans="1:7" x14ac:dyDescent="0.15">
      <c r="A542" t="str">
        <f>INDEX(最终表!$A:$Y,语言表!$F542+4,INDEX($F$2:$L$2,1,$G542+1))</f>
        <v>t_director_option1_1101153</v>
      </c>
      <c r="B542" t="str">
        <f>INDEX(最终表!$A:$Y,语言表!$F542+4,INDEX($F$1:$L$1,1,$G542+1))</f>
        <v/>
      </c>
      <c r="F542">
        <f t="shared" si="16"/>
        <v>61</v>
      </c>
      <c r="G542">
        <f t="shared" si="17"/>
        <v>3</v>
      </c>
    </row>
    <row r="543" spans="1:7" x14ac:dyDescent="0.15">
      <c r="A543" t="str">
        <f>INDEX(最终表!$A:$Y,语言表!$F543+4,INDEX($F$2:$L$2,1,$G543+1))</f>
        <v>t_director_option1_1101154</v>
      </c>
      <c r="B543" t="str">
        <f>INDEX(最终表!$A:$Y,语言表!$F543+4,INDEX($F$1:$L$1,1,$G543+1))</f>
        <v/>
      </c>
      <c r="F543">
        <f t="shared" si="16"/>
        <v>62</v>
      </c>
      <c r="G543">
        <f t="shared" si="17"/>
        <v>3</v>
      </c>
    </row>
    <row r="544" spans="1:7" x14ac:dyDescent="0.15">
      <c r="A544" t="str">
        <f>INDEX(最终表!$A:$Y,语言表!$F544+4,INDEX($F$2:$L$2,1,$G544+1))</f>
        <v>t_director_option1_1101155</v>
      </c>
      <c r="B544" t="str">
        <f>INDEX(最终表!$A:$Y,语言表!$F544+4,INDEX($F$1:$L$1,1,$G544+1))</f>
        <v/>
      </c>
      <c r="F544">
        <f t="shared" si="16"/>
        <v>63</v>
      </c>
      <c r="G544">
        <f t="shared" si="17"/>
        <v>3</v>
      </c>
    </row>
    <row r="545" spans="1:7" x14ac:dyDescent="0.15">
      <c r="A545" t="str">
        <f>INDEX(最终表!$A:$Y,语言表!$F545+4,INDEX($F$2:$L$2,1,$G545+1))</f>
        <v>t_director_option1_1101200</v>
      </c>
      <c r="B545" t="str">
        <f>INDEX(最终表!$A:$Y,语言表!$F545+4,INDEX($F$1:$L$1,1,$G545+1))</f>
        <v>暂时还没有，我继续去讨伐他</v>
      </c>
      <c r="F545">
        <f t="shared" si="16"/>
        <v>64</v>
      </c>
      <c r="G545">
        <f t="shared" si="17"/>
        <v>3</v>
      </c>
    </row>
    <row r="546" spans="1:7" x14ac:dyDescent="0.15">
      <c r="A546" t="str">
        <f>INDEX(最终表!$A:$Y,语言表!$F546+4,INDEX($F$2:$L$2,1,$G546+1))</f>
        <v>t_director_option1_1101201</v>
      </c>
      <c r="B546" t="str">
        <f>INDEX(最终表!$A:$Y,语言表!$F546+4,INDEX($F$1:$L$1,1,$G546+1))</f>
        <v/>
      </c>
      <c r="F546">
        <f t="shared" si="16"/>
        <v>65</v>
      </c>
      <c r="G546">
        <f t="shared" si="17"/>
        <v>3</v>
      </c>
    </row>
    <row r="547" spans="1:7" x14ac:dyDescent="0.15">
      <c r="A547" t="str">
        <f>INDEX(最终表!$A:$Y,语言表!$F547+4,INDEX($F$2:$L$2,1,$G547+1))</f>
        <v>t_director_option1_1101202</v>
      </c>
      <c r="B547" t="str">
        <f>INDEX(最终表!$A:$Y,语言表!$F547+4,INDEX($F$1:$L$1,1,$G547+1))</f>
        <v/>
      </c>
      <c r="F547">
        <f t="shared" si="16"/>
        <v>66</v>
      </c>
      <c r="G547">
        <f t="shared" si="17"/>
        <v>3</v>
      </c>
    </row>
    <row r="548" spans="1:7" x14ac:dyDescent="0.15">
      <c r="A548" t="str">
        <f>INDEX(最终表!$A:$Y,语言表!$F548+4,INDEX($F$2:$L$2,1,$G548+1))</f>
        <v>t_director_option1_1101203</v>
      </c>
      <c r="B548" t="str">
        <f>INDEX(最终表!$A:$Y,语言表!$F548+4,INDEX($F$1:$L$1,1,$G548+1))</f>
        <v/>
      </c>
      <c r="F548">
        <f t="shared" si="16"/>
        <v>67</v>
      </c>
      <c r="G548">
        <f t="shared" si="17"/>
        <v>3</v>
      </c>
    </row>
    <row r="549" spans="1:7" x14ac:dyDescent="0.15">
      <c r="A549" t="str">
        <f>INDEX(最终表!$A:$Y,语言表!$F549+4,INDEX($F$2:$L$2,1,$G549+1))</f>
        <v>t_director_option1_1101204</v>
      </c>
      <c r="B549" t="str">
        <f>INDEX(最终表!$A:$Y,语言表!$F549+4,INDEX($F$1:$L$1,1,$G549+1))</f>
        <v/>
      </c>
      <c r="F549">
        <f t="shared" si="16"/>
        <v>68</v>
      </c>
      <c r="G549">
        <f t="shared" si="17"/>
        <v>3</v>
      </c>
    </row>
    <row r="550" spans="1:7" x14ac:dyDescent="0.15">
      <c r="A550" t="str">
        <f>INDEX(最终表!$A:$Y,语言表!$F550+4,INDEX($F$2:$L$2,1,$G550+1))</f>
        <v>t_director_option1_1101205</v>
      </c>
      <c r="B550" t="str">
        <f>INDEX(最终表!$A:$Y,语言表!$F550+4,INDEX($F$1:$L$1,1,$G550+1))</f>
        <v/>
      </c>
      <c r="F550">
        <f t="shared" si="16"/>
        <v>69</v>
      </c>
      <c r="G550">
        <f t="shared" si="17"/>
        <v>3</v>
      </c>
    </row>
    <row r="551" spans="1:7" x14ac:dyDescent="0.15">
      <c r="A551" t="str">
        <f>INDEX(最终表!$A:$Y,语言表!$F551+4,INDEX($F$2:$L$2,1,$G551+1))</f>
        <v>t_director_option1_1101206</v>
      </c>
      <c r="B551" t="str">
        <f>INDEX(最终表!$A:$Y,语言表!$F551+4,INDEX($F$1:$L$1,1,$G551+1))</f>
        <v/>
      </c>
      <c r="F551">
        <f t="shared" si="16"/>
        <v>70</v>
      </c>
      <c r="G551">
        <f t="shared" si="17"/>
        <v>3</v>
      </c>
    </row>
    <row r="552" spans="1:7" x14ac:dyDescent="0.15">
      <c r="A552" t="str">
        <f>INDEX(最终表!$A:$Y,语言表!$F552+4,INDEX($F$2:$L$2,1,$G552+1))</f>
        <v>t_director_option1_1101400</v>
      </c>
      <c r="B552" t="str">
        <f>INDEX(最终表!$A:$Y,语言表!$F552+4,INDEX($F$1:$L$1,1,$G552+1))</f>
        <v/>
      </c>
      <c r="F552">
        <f t="shared" si="16"/>
        <v>71</v>
      </c>
      <c r="G552">
        <f t="shared" si="17"/>
        <v>3</v>
      </c>
    </row>
    <row r="553" spans="1:7" x14ac:dyDescent="0.15">
      <c r="A553" t="str">
        <f>INDEX(最终表!$A:$Y,语言表!$F553+4,INDEX($F$2:$L$2,1,$G553+1))</f>
        <v>t_director_option1_1101401</v>
      </c>
      <c r="B553" t="str">
        <f>INDEX(最终表!$A:$Y,语言表!$F553+4,INDEX($F$1:$L$1,1,$G553+1))</f>
        <v>我还没有</v>
      </c>
      <c r="F553">
        <f t="shared" si="16"/>
        <v>72</v>
      </c>
      <c r="G553">
        <f t="shared" si="17"/>
        <v>3</v>
      </c>
    </row>
    <row r="554" spans="1:7" x14ac:dyDescent="0.15">
      <c r="A554" t="str">
        <f>INDEX(最终表!$A:$Y,语言表!$F554+4,INDEX($F$2:$L$2,1,$G554+1))</f>
        <v>t_director_option1_1101450</v>
      </c>
      <c r="B554" t="str">
        <f>INDEX(最终表!$A:$Y,语言表!$F554+4,INDEX($F$1:$L$1,1,$G554+1))</f>
        <v/>
      </c>
      <c r="F554">
        <f t="shared" si="16"/>
        <v>73</v>
      </c>
      <c r="G554">
        <f t="shared" si="17"/>
        <v>3</v>
      </c>
    </row>
    <row r="555" spans="1:7" x14ac:dyDescent="0.15">
      <c r="A555" t="str">
        <f>INDEX(最终表!$A:$Y,语言表!$F555+4,INDEX($F$2:$L$2,1,$G555+1))</f>
        <v>t_director_option1_1101451</v>
      </c>
      <c r="B555" t="str">
        <f>INDEX(最终表!$A:$Y,语言表!$F555+4,INDEX($F$1:$L$1,1,$G555+1))</f>
        <v/>
      </c>
      <c r="F555">
        <f t="shared" si="16"/>
        <v>74</v>
      </c>
      <c r="G555">
        <f t="shared" si="17"/>
        <v>3</v>
      </c>
    </row>
    <row r="556" spans="1:7" x14ac:dyDescent="0.15">
      <c r="A556" t="str">
        <f>INDEX(最终表!$A:$Y,语言表!$F556+4,INDEX($F$2:$L$2,1,$G556+1))</f>
        <v>t_director_option1_1101500</v>
      </c>
      <c r="B556" t="str">
        <f>INDEX(最终表!$A:$Y,语言表!$F556+4,INDEX($F$1:$L$1,1,$G556+1))</f>
        <v>我再去寻找</v>
      </c>
      <c r="F556">
        <f t="shared" si="16"/>
        <v>75</v>
      </c>
      <c r="G556">
        <f t="shared" si="17"/>
        <v>3</v>
      </c>
    </row>
    <row r="557" spans="1:7" x14ac:dyDescent="0.15">
      <c r="A557" t="str">
        <f>INDEX(最终表!$A:$Y,语言表!$F557+4,INDEX($F$2:$L$2,1,$G557+1))</f>
        <v>t_director_option1_1101501</v>
      </c>
      <c r="B557" t="str">
        <f>INDEX(最终表!$A:$Y,语言表!$F557+4,INDEX($F$1:$L$1,1,$G557+1))</f>
        <v/>
      </c>
      <c r="F557">
        <f t="shared" si="16"/>
        <v>76</v>
      </c>
      <c r="G557">
        <f t="shared" si="17"/>
        <v>3</v>
      </c>
    </row>
    <row r="558" spans="1:7" x14ac:dyDescent="0.15">
      <c r="A558" t="str">
        <f>INDEX(最终表!$A:$Y,语言表!$F558+4,INDEX($F$2:$L$2,1,$G558+1))</f>
        <v>t_director_option1_1101502</v>
      </c>
      <c r="B558" t="str">
        <f>INDEX(最终表!$A:$Y,语言表!$F558+4,INDEX($F$1:$L$1,1,$G558+1))</f>
        <v/>
      </c>
      <c r="F558">
        <f t="shared" si="16"/>
        <v>77</v>
      </c>
      <c r="G558">
        <f t="shared" si="17"/>
        <v>3</v>
      </c>
    </row>
    <row r="559" spans="1:7" x14ac:dyDescent="0.15">
      <c r="A559" t="str">
        <f>INDEX(最终表!$A:$Y,语言表!$F559+4,INDEX($F$2:$L$2,1,$G559+1))</f>
        <v>t_director_option1_1101600</v>
      </c>
      <c r="B559" t="str">
        <f>INDEX(最终表!$A:$Y,语言表!$F559+4,INDEX($F$1:$L$1,1,$G559+1))</f>
        <v>我再去寻找</v>
      </c>
      <c r="F559">
        <f t="shared" si="16"/>
        <v>78</v>
      </c>
      <c r="G559">
        <f t="shared" si="17"/>
        <v>3</v>
      </c>
    </row>
    <row r="560" spans="1:7" x14ac:dyDescent="0.15">
      <c r="A560" t="str">
        <f>INDEX(最终表!$A:$Y,语言表!$F560+4,INDEX($F$2:$L$2,1,$G560+1))</f>
        <v>t_director_option1_1101601</v>
      </c>
      <c r="B560" t="str">
        <f>INDEX(最终表!$A:$Y,语言表!$F560+4,INDEX($F$1:$L$1,1,$G560+1))</f>
        <v/>
      </c>
      <c r="F560">
        <f t="shared" si="16"/>
        <v>79</v>
      </c>
      <c r="G560">
        <f t="shared" si="17"/>
        <v>3</v>
      </c>
    </row>
    <row r="561" spans="1:7" x14ac:dyDescent="0.15">
      <c r="A561" t="str">
        <f>INDEX(最终表!$A:$Y,语言表!$F561+4,INDEX($F$2:$L$2,1,$G561+1))</f>
        <v>t_director_option1_1101700</v>
      </c>
      <c r="B561" t="str">
        <f>INDEX(最终表!$A:$Y,语言表!$F561+4,INDEX($F$1:$L$1,1,$G561+1))</f>
        <v/>
      </c>
      <c r="F561">
        <f t="shared" si="16"/>
        <v>80</v>
      </c>
      <c r="G561">
        <f t="shared" si="17"/>
        <v>3</v>
      </c>
    </row>
    <row r="562" spans="1:7" x14ac:dyDescent="0.15">
      <c r="A562" t="str">
        <f>INDEX(最终表!$A:$Y,语言表!$F562+4,INDEX($F$2:$L$2,1,$G562+1))</f>
        <v>t_director_option1_1101701</v>
      </c>
      <c r="B562" t="str">
        <f>INDEX(最终表!$A:$Y,语言表!$F562+4,INDEX($F$1:$L$1,1,$G562+1))</f>
        <v>我去寻找</v>
      </c>
      <c r="F562">
        <f t="shared" si="16"/>
        <v>81</v>
      </c>
      <c r="G562">
        <f t="shared" si="17"/>
        <v>3</v>
      </c>
    </row>
    <row r="563" spans="1:7" x14ac:dyDescent="0.15">
      <c r="A563" t="str">
        <f>INDEX(最终表!$A:$Y,语言表!$F563+4,INDEX($F$2:$L$2,1,$G563+1))</f>
        <v>t_director_option1_1101750</v>
      </c>
      <c r="B563" t="str">
        <f>INDEX(最终表!$A:$Y,语言表!$F563+4,INDEX($F$1:$L$1,1,$G563+1))</f>
        <v/>
      </c>
      <c r="F563">
        <f t="shared" si="16"/>
        <v>82</v>
      </c>
      <c r="G563">
        <f t="shared" si="17"/>
        <v>3</v>
      </c>
    </row>
    <row r="564" spans="1:7" x14ac:dyDescent="0.15">
      <c r="A564" t="str">
        <f>INDEX(最终表!$A:$Y,语言表!$F564+4,INDEX($F$2:$L$2,1,$G564+1))</f>
        <v>t_director_option1_1101751</v>
      </c>
      <c r="B564" t="str">
        <f>INDEX(最终表!$A:$Y,语言表!$F564+4,INDEX($F$1:$L$1,1,$G564+1))</f>
        <v/>
      </c>
      <c r="F564">
        <f t="shared" si="16"/>
        <v>83</v>
      </c>
      <c r="G564">
        <f t="shared" si="17"/>
        <v>3</v>
      </c>
    </row>
    <row r="565" spans="1:7" x14ac:dyDescent="0.15">
      <c r="A565" t="str">
        <f>INDEX(最终表!$A:$Y,语言表!$F565+4,INDEX($F$2:$L$2,1,$G565+1))</f>
        <v>t_director_option1_1101800</v>
      </c>
      <c r="B565" t="str">
        <f>INDEX(最终表!$A:$Y,语言表!$F565+4,INDEX($F$1:$L$1,1,$G565+1))</f>
        <v>我再去讨伐</v>
      </c>
      <c r="F565">
        <f t="shared" si="16"/>
        <v>84</v>
      </c>
      <c r="G565">
        <f t="shared" si="17"/>
        <v>3</v>
      </c>
    </row>
    <row r="566" spans="1:7" x14ac:dyDescent="0.15">
      <c r="A566" t="str">
        <f>INDEX(最终表!$A:$Y,语言表!$F566+4,INDEX($F$2:$L$2,1,$G566+1))</f>
        <v>t_director_option1_1101801</v>
      </c>
      <c r="B566" t="str">
        <f>INDEX(最终表!$A:$Y,语言表!$F566+4,INDEX($F$1:$L$1,1,$G566+1))</f>
        <v/>
      </c>
      <c r="F566">
        <f t="shared" si="16"/>
        <v>85</v>
      </c>
      <c r="G566">
        <f t="shared" si="17"/>
        <v>3</v>
      </c>
    </row>
    <row r="567" spans="1:7" x14ac:dyDescent="0.15">
      <c r="A567" t="str">
        <f>INDEX(最终表!$A:$Y,语言表!$F567+4,INDEX($F$2:$L$2,1,$G567+1))</f>
        <v>t_director_option1_1101900</v>
      </c>
      <c r="B567" t="str">
        <f>INDEX(最终表!$A:$Y,语言表!$F567+4,INDEX($F$1:$L$1,1,$G567+1))</f>
        <v>我再去猎取</v>
      </c>
      <c r="F567">
        <f t="shared" si="16"/>
        <v>86</v>
      </c>
      <c r="G567">
        <f t="shared" si="17"/>
        <v>3</v>
      </c>
    </row>
    <row r="568" spans="1:7" x14ac:dyDescent="0.15">
      <c r="A568" t="str">
        <f>INDEX(最终表!$A:$Y,语言表!$F568+4,INDEX($F$2:$L$2,1,$G568+1))</f>
        <v>t_director_option1_1101901</v>
      </c>
      <c r="B568" t="str">
        <f>INDEX(最终表!$A:$Y,语言表!$F568+4,INDEX($F$1:$L$1,1,$G568+1))</f>
        <v>应该的</v>
      </c>
      <c r="F568">
        <f t="shared" si="16"/>
        <v>87</v>
      </c>
      <c r="G568">
        <f t="shared" si="17"/>
        <v>3</v>
      </c>
    </row>
    <row r="569" spans="1:7" x14ac:dyDescent="0.15">
      <c r="A569" t="str">
        <f>INDEX(最终表!$A:$Y,语言表!$F569+4,INDEX($F$2:$L$2,1,$G569+1))</f>
        <v>t_director_option1_1102000</v>
      </c>
      <c r="B569" t="str">
        <f>INDEX(最终表!$A:$Y,语言表!$F569+4,INDEX($F$1:$L$1,1,$G569+1))</f>
        <v>是的</v>
      </c>
      <c r="F569">
        <f t="shared" si="16"/>
        <v>88</v>
      </c>
      <c r="G569">
        <f t="shared" si="17"/>
        <v>3</v>
      </c>
    </row>
    <row r="570" spans="1:7" x14ac:dyDescent="0.15">
      <c r="A570" t="str">
        <f>INDEX(最终表!$A:$Y,语言表!$F570+4,INDEX($F$2:$L$2,1,$G570+1))</f>
        <v>t_director_option1_1102001</v>
      </c>
      <c r="B570" t="str">
        <f>INDEX(最终表!$A:$Y,语言表!$F570+4,INDEX($F$1:$L$1,1,$G570+1))</f>
        <v/>
      </c>
      <c r="F570">
        <f t="shared" si="16"/>
        <v>89</v>
      </c>
      <c r="G570">
        <f t="shared" si="17"/>
        <v>3</v>
      </c>
    </row>
    <row r="571" spans="1:7" x14ac:dyDescent="0.15">
      <c r="A571" t="str">
        <f>INDEX(最终表!$A:$Y,语言表!$F571+4,INDEX($F$2:$L$2,1,$G571+1))</f>
        <v>t_director_option1_1102002</v>
      </c>
      <c r="B571" t="str">
        <f>INDEX(最终表!$A:$Y,语言表!$F571+4,INDEX($F$1:$L$1,1,$G571+1))</f>
        <v/>
      </c>
      <c r="F571">
        <f t="shared" si="16"/>
        <v>90</v>
      </c>
      <c r="G571">
        <f t="shared" si="17"/>
        <v>3</v>
      </c>
    </row>
    <row r="572" spans="1:7" x14ac:dyDescent="0.15">
      <c r="A572" t="str">
        <f>INDEX(最终表!$A:$Y,语言表!$F572+4,INDEX($F$2:$L$2,1,$G572+1))</f>
        <v>t_director_option1_1102003</v>
      </c>
      <c r="B572" t="str">
        <f>INDEX(最终表!$A:$Y,语言表!$F572+4,INDEX($F$1:$L$1,1,$G572+1))</f>
        <v>不感兴趣</v>
      </c>
      <c r="F572">
        <f t="shared" si="16"/>
        <v>91</v>
      </c>
      <c r="G572">
        <f t="shared" si="17"/>
        <v>3</v>
      </c>
    </row>
    <row r="573" spans="1:7" x14ac:dyDescent="0.15">
      <c r="A573" t="str">
        <f>INDEX(最终表!$A:$Y,语言表!$F573+4,INDEX($F$2:$L$2,1,$G573+1))</f>
        <v>t_director_option1_1102050</v>
      </c>
      <c r="B573" t="str">
        <f>INDEX(最终表!$A:$Y,语言表!$F573+4,INDEX($F$1:$L$1,1,$G573+1))</f>
        <v/>
      </c>
      <c r="F573">
        <f t="shared" si="16"/>
        <v>92</v>
      </c>
      <c r="G573">
        <f t="shared" si="17"/>
        <v>3</v>
      </c>
    </row>
    <row r="574" spans="1:7" x14ac:dyDescent="0.15">
      <c r="A574" t="str">
        <f>INDEX(最终表!$A:$Y,语言表!$F574+4,INDEX($F$2:$L$2,1,$G574+1))</f>
        <v>t_director_option1_1102051</v>
      </c>
      <c r="B574" t="str">
        <f>INDEX(最终表!$A:$Y,语言表!$F574+4,INDEX($F$1:$L$1,1,$G574+1))</f>
        <v/>
      </c>
      <c r="F574">
        <f t="shared" si="16"/>
        <v>93</v>
      </c>
      <c r="G574">
        <f t="shared" si="17"/>
        <v>3</v>
      </c>
    </row>
    <row r="575" spans="1:7" x14ac:dyDescent="0.15">
      <c r="A575" t="str">
        <f>INDEX(最终表!$A:$Y,语言表!$F575+4,INDEX($F$2:$L$2,1,$G575+1))</f>
        <v>t_director_option1_1102100</v>
      </c>
      <c r="B575" t="str">
        <f>INDEX(最终表!$A:$Y,语言表!$F575+4,INDEX($F$1:$L$1,1,$G575+1))</f>
        <v>我再去讨伐</v>
      </c>
      <c r="F575">
        <f t="shared" si="16"/>
        <v>94</v>
      </c>
      <c r="G575">
        <f t="shared" si="17"/>
        <v>3</v>
      </c>
    </row>
    <row r="576" spans="1:7" x14ac:dyDescent="0.15">
      <c r="A576" t="str">
        <f>INDEX(最终表!$A:$Y,语言表!$F576+4,INDEX($F$2:$L$2,1,$G576+1))</f>
        <v>t_director_option1_1102101</v>
      </c>
      <c r="B576" t="str">
        <f>INDEX(最终表!$A:$Y,语言表!$F576+4,INDEX($F$1:$L$1,1,$G576+1))</f>
        <v/>
      </c>
      <c r="F576">
        <f t="shared" si="16"/>
        <v>95</v>
      </c>
      <c r="G576">
        <f t="shared" si="17"/>
        <v>3</v>
      </c>
    </row>
    <row r="577" spans="1:7" x14ac:dyDescent="0.15">
      <c r="A577" t="str">
        <f>INDEX(最终表!$A:$Y,语言表!$F577+4,INDEX($F$2:$L$2,1,$G577+1))</f>
        <v>t_director_option1_1102102</v>
      </c>
      <c r="B577" t="str">
        <f>INDEX(最终表!$A:$Y,语言表!$F577+4,INDEX($F$1:$L$1,1,$G577+1))</f>
        <v>收集那个做什么</v>
      </c>
      <c r="F577">
        <f t="shared" si="16"/>
        <v>96</v>
      </c>
      <c r="G577">
        <f t="shared" si="17"/>
        <v>3</v>
      </c>
    </row>
    <row r="578" spans="1:7" x14ac:dyDescent="0.15">
      <c r="A578" t="str">
        <f>INDEX(最终表!$A:$Y,语言表!$F578+4,INDEX($F$2:$L$2,1,$G578+1))</f>
        <v>t_director_option1_1102103</v>
      </c>
      <c r="B578" t="str">
        <f>INDEX(最终表!$A:$Y,语言表!$F578+4,INDEX($F$1:$L$1,1,$G578+1))</f>
        <v>转身离开</v>
      </c>
      <c r="F578">
        <f t="shared" si="16"/>
        <v>97</v>
      </c>
      <c r="G578">
        <f t="shared" si="17"/>
        <v>3</v>
      </c>
    </row>
    <row r="579" spans="1:7" x14ac:dyDescent="0.15">
      <c r="A579" t="str">
        <f>INDEX(最终表!$A:$Y,语言表!$F579+4,INDEX($F$2:$L$2,1,$G579+1))</f>
        <v>t_director_option1_1102104</v>
      </c>
      <c r="B579" t="str">
        <f>INDEX(最终表!$A:$Y,语言表!$F579+4,INDEX($F$1:$L$1,1,$G579+1))</f>
        <v>继续离开</v>
      </c>
      <c r="F579">
        <f t="shared" si="16"/>
        <v>98</v>
      </c>
      <c r="G579">
        <f t="shared" si="17"/>
        <v>3</v>
      </c>
    </row>
    <row r="580" spans="1:7" x14ac:dyDescent="0.15">
      <c r="A580" t="str">
        <f>INDEX(最终表!$A:$Y,语言表!$F580+4,INDEX($F$2:$L$2,1,$G580+1))</f>
        <v>t_director_option1_1102105</v>
      </c>
      <c r="B580" t="str">
        <f>INDEX(最终表!$A:$Y,语言表!$F580+4,INDEX($F$1:$L$1,1,$G580+1))</f>
        <v/>
      </c>
      <c r="F580">
        <f t="shared" si="16"/>
        <v>99</v>
      </c>
      <c r="G580">
        <f t="shared" si="17"/>
        <v>3</v>
      </c>
    </row>
    <row r="581" spans="1:7" x14ac:dyDescent="0.15">
      <c r="A581" t="str">
        <f>INDEX(最终表!$A:$Y,语言表!$F581+4,INDEX($F$2:$L$2,1,$G581+1))</f>
        <v>t_director_option1_1102106</v>
      </c>
      <c r="B581" t="str">
        <f>INDEX(最终表!$A:$Y,语言表!$F581+4,INDEX($F$1:$L$1,1,$G581+1))</f>
        <v/>
      </c>
      <c r="F581">
        <f t="shared" ref="F581:F644" si="18">MOD(ROW()-4,$N$1-3)</f>
        <v>100</v>
      </c>
      <c r="G581">
        <f t="shared" ref="G581:G644" si="19">INT((ROW()-4)/($N$1-3))</f>
        <v>3</v>
      </c>
    </row>
    <row r="582" spans="1:7" x14ac:dyDescent="0.15">
      <c r="A582" t="str">
        <f>INDEX(最终表!$A:$Y,语言表!$F582+4,INDEX($F$2:$L$2,1,$G582+1))</f>
        <v>t_director_option1_1102107</v>
      </c>
      <c r="B582" t="str">
        <f>INDEX(最终表!$A:$Y,语言表!$F582+4,INDEX($F$1:$L$1,1,$G582+1))</f>
        <v/>
      </c>
      <c r="F582">
        <f t="shared" si="18"/>
        <v>101</v>
      </c>
      <c r="G582">
        <f t="shared" si="19"/>
        <v>3</v>
      </c>
    </row>
    <row r="583" spans="1:7" x14ac:dyDescent="0.15">
      <c r="A583" t="str">
        <f>INDEX(最终表!$A:$Y,语言表!$F583+4,INDEX($F$2:$L$2,1,$G583+1))</f>
        <v>t_director_option1_1102200</v>
      </c>
      <c r="B583" t="str">
        <f>INDEX(最终表!$A:$Y,语言表!$F583+4,INDEX($F$1:$L$1,1,$G583+1))</f>
        <v>我再去收集</v>
      </c>
      <c r="F583">
        <f t="shared" si="18"/>
        <v>102</v>
      </c>
      <c r="G583">
        <f t="shared" si="19"/>
        <v>3</v>
      </c>
    </row>
    <row r="584" spans="1:7" x14ac:dyDescent="0.15">
      <c r="A584" t="str">
        <f>INDEX(最终表!$A:$Y,语言表!$F584+4,INDEX($F$2:$L$2,1,$G584+1))</f>
        <v>t_director_option1_1102201</v>
      </c>
      <c r="B584" t="str">
        <f>INDEX(最终表!$A:$Y,语言表!$F584+4,INDEX($F$1:$L$1,1,$G584+1))</f>
        <v/>
      </c>
      <c r="F584">
        <f t="shared" si="18"/>
        <v>103</v>
      </c>
      <c r="G584">
        <f t="shared" si="19"/>
        <v>3</v>
      </c>
    </row>
    <row r="585" spans="1:7" x14ac:dyDescent="0.15">
      <c r="A585" t="str">
        <f>INDEX(最终表!$A:$Y,语言表!$F585+4,INDEX($F$2:$L$2,1,$G585+1))</f>
        <v>t_director_option1_1102300</v>
      </c>
      <c r="B585" t="str">
        <f>INDEX(最终表!$A:$Y,语言表!$F585+4,INDEX($F$1:$L$1,1,$G585+1))</f>
        <v/>
      </c>
      <c r="F585">
        <f t="shared" si="18"/>
        <v>104</v>
      </c>
      <c r="G585">
        <f t="shared" si="19"/>
        <v>3</v>
      </c>
    </row>
    <row r="586" spans="1:7" x14ac:dyDescent="0.15">
      <c r="A586" t="str">
        <f>INDEX(最终表!$A:$Y,语言表!$F586+4,INDEX($F$2:$L$2,1,$G586+1))</f>
        <v>t_director_option1_1102301</v>
      </c>
      <c r="B586" t="str">
        <f>INDEX(最终表!$A:$Y,语言表!$F586+4,INDEX($F$1:$L$1,1,$G586+1))</f>
        <v/>
      </c>
      <c r="F586">
        <f t="shared" si="18"/>
        <v>105</v>
      </c>
      <c r="G586">
        <f t="shared" si="19"/>
        <v>3</v>
      </c>
    </row>
    <row r="587" spans="1:7" x14ac:dyDescent="0.15">
      <c r="A587" t="str">
        <f>INDEX(最终表!$A:$Y,语言表!$F587+4,INDEX($F$2:$L$2,1,$G587+1))</f>
        <v>t_director_option1_1102302</v>
      </c>
      <c r="B587" t="str">
        <f>INDEX(最终表!$A:$Y,语言表!$F587+4,INDEX($F$1:$L$1,1,$G587+1))</f>
        <v>我去猎取</v>
      </c>
      <c r="F587">
        <f t="shared" si="18"/>
        <v>106</v>
      </c>
      <c r="G587">
        <f t="shared" si="19"/>
        <v>3</v>
      </c>
    </row>
    <row r="588" spans="1:7" x14ac:dyDescent="0.15">
      <c r="A588" t="str">
        <f>INDEX(最终表!$A:$Y,语言表!$F588+4,INDEX($F$2:$L$2,1,$G588+1))</f>
        <v>t_director_option1_1102310</v>
      </c>
      <c r="B588" t="str">
        <f>INDEX(最终表!$A:$Y,语言表!$F588+4,INDEX($F$1:$L$1,1,$G588+1))</f>
        <v/>
      </c>
      <c r="F588">
        <f t="shared" si="18"/>
        <v>107</v>
      </c>
      <c r="G588">
        <f t="shared" si="19"/>
        <v>3</v>
      </c>
    </row>
    <row r="589" spans="1:7" x14ac:dyDescent="0.15">
      <c r="A589" t="str">
        <f>INDEX(最终表!$A:$Y,语言表!$F589+4,INDEX($F$2:$L$2,1,$G589+1))</f>
        <v>t_director_option1_1102311</v>
      </c>
      <c r="B589" t="str">
        <f>INDEX(最终表!$A:$Y,语言表!$F589+4,INDEX($F$1:$L$1,1,$G589+1))</f>
        <v/>
      </c>
      <c r="F589">
        <f t="shared" si="18"/>
        <v>108</v>
      </c>
      <c r="G589">
        <f t="shared" si="19"/>
        <v>3</v>
      </c>
    </row>
    <row r="590" spans="1:7" x14ac:dyDescent="0.15">
      <c r="A590" t="str">
        <f>INDEX(最终表!$A:$Y,语言表!$F590+4,INDEX($F$2:$L$2,1,$G590+1))</f>
        <v>t_director_option1_1102312</v>
      </c>
      <c r="B590" t="str">
        <f>INDEX(最终表!$A:$Y,语言表!$F590+4,INDEX($F$1:$L$1,1,$G590+1))</f>
        <v/>
      </c>
      <c r="F590">
        <f t="shared" si="18"/>
        <v>109</v>
      </c>
      <c r="G590">
        <f t="shared" si="19"/>
        <v>3</v>
      </c>
    </row>
    <row r="591" spans="1:7" x14ac:dyDescent="0.15">
      <c r="A591" t="str">
        <f>INDEX(最终表!$A:$Y,语言表!$F591+4,INDEX($F$2:$L$2,1,$G591+1))</f>
        <v>t_director_option1_1102350</v>
      </c>
      <c r="B591" t="str">
        <f>INDEX(最终表!$A:$Y,语言表!$F591+4,INDEX($F$1:$L$1,1,$G591+1))</f>
        <v>我去猎取</v>
      </c>
      <c r="F591">
        <f t="shared" si="18"/>
        <v>110</v>
      </c>
      <c r="G591">
        <f t="shared" si="19"/>
        <v>3</v>
      </c>
    </row>
    <row r="592" spans="1:7" x14ac:dyDescent="0.15">
      <c r="A592" t="str">
        <f>INDEX(最终表!$A:$Y,语言表!$F592+4,INDEX($F$2:$L$2,1,$G592+1))</f>
        <v>t_director_option1_1102351</v>
      </c>
      <c r="B592" t="str">
        <f>INDEX(最终表!$A:$Y,语言表!$F592+4,INDEX($F$1:$L$1,1,$G592+1))</f>
        <v/>
      </c>
      <c r="F592">
        <f t="shared" si="18"/>
        <v>111</v>
      </c>
      <c r="G592">
        <f t="shared" si="19"/>
        <v>3</v>
      </c>
    </row>
    <row r="593" spans="1:7" x14ac:dyDescent="0.15">
      <c r="A593" t="str">
        <f>INDEX(最终表!$A:$Y,语言表!$F593+4,INDEX($F$2:$L$2,1,$G593+1))</f>
        <v>t_director_option1_1102352</v>
      </c>
      <c r="B593" t="str">
        <f>INDEX(最终表!$A:$Y,语言表!$F593+4,INDEX($F$1:$L$1,1,$G593+1))</f>
        <v/>
      </c>
      <c r="F593">
        <f t="shared" si="18"/>
        <v>112</v>
      </c>
      <c r="G593">
        <f t="shared" si="19"/>
        <v>3</v>
      </c>
    </row>
    <row r="594" spans="1:7" x14ac:dyDescent="0.15">
      <c r="A594" t="str">
        <f>INDEX(最终表!$A:$Y,语言表!$F594+4,INDEX($F$2:$L$2,1,$G594+1))</f>
        <v>t_director_option1_1102400</v>
      </c>
      <c r="B594" t="str">
        <f>INDEX(最终表!$A:$Y,语言表!$F594+4,INDEX($F$1:$L$1,1,$G594+1))</f>
        <v>我再去狩猎</v>
      </c>
      <c r="F594">
        <f t="shared" si="18"/>
        <v>113</v>
      </c>
      <c r="G594">
        <f t="shared" si="19"/>
        <v>3</v>
      </c>
    </row>
    <row r="595" spans="1:7" x14ac:dyDescent="0.15">
      <c r="A595" t="str">
        <f>INDEX(最终表!$A:$Y,语言表!$F595+4,INDEX($F$2:$L$2,1,$G595+1))</f>
        <v>t_director_option1_1102401</v>
      </c>
      <c r="B595" t="str">
        <f>INDEX(最终表!$A:$Y,语言表!$F595+4,INDEX($F$1:$L$1,1,$G595+1))</f>
        <v/>
      </c>
      <c r="F595">
        <f t="shared" si="18"/>
        <v>114</v>
      </c>
      <c r="G595">
        <f t="shared" si="19"/>
        <v>3</v>
      </c>
    </row>
    <row r="596" spans="1:7" x14ac:dyDescent="0.15">
      <c r="A596" t="str">
        <f>INDEX(最终表!$A:$Y,语言表!$F596+4,INDEX($F$2:$L$2,1,$G596+1))</f>
        <v>t_director_option1_1102410</v>
      </c>
      <c r="B596" t="str">
        <f>INDEX(最终表!$A:$Y,语言表!$F596+4,INDEX($F$1:$L$1,1,$G596+1))</f>
        <v/>
      </c>
      <c r="F596">
        <f t="shared" si="18"/>
        <v>115</v>
      </c>
      <c r="G596">
        <f t="shared" si="19"/>
        <v>3</v>
      </c>
    </row>
    <row r="597" spans="1:7" x14ac:dyDescent="0.15">
      <c r="A597" t="str">
        <f>INDEX(最终表!$A:$Y,语言表!$F597+4,INDEX($F$2:$L$2,1,$G597+1))</f>
        <v>t_director_option1_1102411</v>
      </c>
      <c r="B597" t="str">
        <f>INDEX(最终表!$A:$Y,语言表!$F597+4,INDEX($F$1:$L$1,1,$G597+1))</f>
        <v/>
      </c>
      <c r="F597">
        <f t="shared" si="18"/>
        <v>116</v>
      </c>
      <c r="G597">
        <f t="shared" si="19"/>
        <v>3</v>
      </c>
    </row>
    <row r="598" spans="1:7" x14ac:dyDescent="0.15">
      <c r="A598" t="str">
        <f>INDEX(最终表!$A:$Y,语言表!$F598+4,INDEX($F$2:$L$2,1,$G598+1))</f>
        <v>t_director_option1_1102450</v>
      </c>
      <c r="B598" t="str">
        <f>INDEX(最终表!$A:$Y,语言表!$F598+4,INDEX($F$1:$L$1,1,$G598+1))</f>
        <v/>
      </c>
      <c r="F598">
        <f t="shared" si="18"/>
        <v>117</v>
      </c>
      <c r="G598">
        <f t="shared" si="19"/>
        <v>3</v>
      </c>
    </row>
    <row r="599" spans="1:7" x14ac:dyDescent="0.15">
      <c r="A599" t="str">
        <f>INDEX(最终表!$A:$Y,语言表!$F599+4,INDEX($F$2:$L$2,1,$G599+1))</f>
        <v>t_director_option1_1102451</v>
      </c>
      <c r="B599" t="str">
        <f>INDEX(最终表!$A:$Y,语言表!$F599+4,INDEX($F$1:$L$1,1,$G599+1))</f>
        <v/>
      </c>
      <c r="F599">
        <f t="shared" si="18"/>
        <v>118</v>
      </c>
      <c r="G599">
        <f t="shared" si="19"/>
        <v>3</v>
      </c>
    </row>
    <row r="600" spans="1:7" x14ac:dyDescent="0.15">
      <c r="A600" t="str">
        <f>INDEX(最终表!$A:$Y,语言表!$F600+4,INDEX($F$2:$L$2,1,$G600+1))</f>
        <v>t_director_option1_1102480</v>
      </c>
      <c r="B600" t="str">
        <f>INDEX(最终表!$A:$Y,语言表!$F600+4,INDEX($F$1:$L$1,1,$G600+1))</f>
        <v/>
      </c>
      <c r="F600">
        <f t="shared" si="18"/>
        <v>119</v>
      </c>
      <c r="G600">
        <f t="shared" si="19"/>
        <v>3</v>
      </c>
    </row>
    <row r="601" spans="1:7" x14ac:dyDescent="0.15">
      <c r="A601" t="str">
        <f>INDEX(最终表!$A:$Y,语言表!$F601+4,INDEX($F$2:$L$2,1,$G601+1))</f>
        <v>t_director_option1_1102481</v>
      </c>
      <c r="B601" t="str">
        <f>INDEX(最终表!$A:$Y,语言表!$F601+4,INDEX($F$1:$L$1,1,$G601+1))</f>
        <v/>
      </c>
      <c r="F601">
        <f t="shared" si="18"/>
        <v>120</v>
      </c>
      <c r="G601">
        <f t="shared" si="19"/>
        <v>3</v>
      </c>
    </row>
    <row r="602" spans="1:7" x14ac:dyDescent="0.15">
      <c r="A602" t="str">
        <f>INDEX(最终表!$A:$Y,语言表!$F602+4,INDEX($F$2:$L$2,1,$G602+1))</f>
        <v>t_director_option1_1102482</v>
      </c>
      <c r="B602" t="str">
        <f>INDEX(最终表!$A:$Y,语言表!$F602+4,INDEX($F$1:$L$1,1,$G602+1))</f>
        <v>士兵怎么这么胆小了？</v>
      </c>
      <c r="F602">
        <f t="shared" si="18"/>
        <v>121</v>
      </c>
      <c r="G602">
        <f t="shared" si="19"/>
        <v>3</v>
      </c>
    </row>
    <row r="603" spans="1:7" x14ac:dyDescent="0.15">
      <c r="A603" t="str">
        <f>INDEX(最终表!$A:$Y,语言表!$F603+4,INDEX($F$2:$L$2,1,$G603+1))</f>
        <v>t_director_option1_1102483</v>
      </c>
      <c r="B603" t="str">
        <f>INDEX(最终表!$A:$Y,语言表!$F603+4,INDEX($F$1:$L$1,1,$G603+1))</f>
        <v/>
      </c>
      <c r="F603">
        <f t="shared" si="18"/>
        <v>122</v>
      </c>
      <c r="G603">
        <f t="shared" si="19"/>
        <v>3</v>
      </c>
    </row>
    <row r="604" spans="1:7" x14ac:dyDescent="0.15">
      <c r="A604" t="str">
        <f>INDEX(最终表!$A:$Y,语言表!$F604+4,INDEX($F$2:$L$2,1,$G604+1))</f>
        <v>t_director_option1_1102484</v>
      </c>
      <c r="B604" t="str">
        <f>INDEX(最终表!$A:$Y,语言表!$F604+4,INDEX($F$1:$L$1,1,$G604+1))</f>
        <v/>
      </c>
      <c r="F604">
        <f t="shared" si="18"/>
        <v>123</v>
      </c>
      <c r="G604">
        <f t="shared" si="19"/>
        <v>3</v>
      </c>
    </row>
    <row r="605" spans="1:7" x14ac:dyDescent="0.15">
      <c r="A605" t="str">
        <f>INDEX(最终表!$A:$Y,语言表!$F605+4,INDEX($F$2:$L$2,1,$G605+1))</f>
        <v>t_director_option1_1102500</v>
      </c>
      <c r="B605" t="str">
        <f>INDEX(最终表!$A:$Y,语言表!$F605+4,INDEX($F$1:$L$1,1,$G605+1))</f>
        <v>我再去猎取</v>
      </c>
      <c r="F605">
        <f t="shared" si="18"/>
        <v>124</v>
      </c>
      <c r="G605">
        <f t="shared" si="19"/>
        <v>3</v>
      </c>
    </row>
    <row r="606" spans="1:7" x14ac:dyDescent="0.15">
      <c r="A606" t="str">
        <f>INDEX(最终表!$A:$Y,语言表!$F606+4,INDEX($F$2:$L$2,1,$G606+1))</f>
        <v>t_director_option1_1102501</v>
      </c>
      <c r="B606" t="str">
        <f>INDEX(最终表!$A:$Y,语言表!$F606+4,INDEX($F$1:$L$1,1,$G606+1))</f>
        <v/>
      </c>
      <c r="F606">
        <f t="shared" si="18"/>
        <v>125</v>
      </c>
      <c r="G606">
        <f t="shared" si="19"/>
        <v>3</v>
      </c>
    </row>
    <row r="607" spans="1:7" x14ac:dyDescent="0.15">
      <c r="A607" t="str">
        <f>INDEX(最终表!$A:$Y,语言表!$F607+4,INDEX($F$2:$L$2,1,$G607+1))</f>
        <v>t_director_option1_1102600</v>
      </c>
      <c r="B607" t="str">
        <f>INDEX(最终表!$A:$Y,语言表!$F607+4,INDEX($F$1:$L$1,1,$G607+1))</f>
        <v>我还有事</v>
      </c>
      <c r="F607">
        <f t="shared" si="18"/>
        <v>126</v>
      </c>
      <c r="G607">
        <f t="shared" si="19"/>
        <v>3</v>
      </c>
    </row>
    <row r="608" spans="1:7" x14ac:dyDescent="0.15">
      <c r="A608" t="str">
        <f>INDEX(最终表!$A:$Y,语言表!$F608+4,INDEX($F$2:$L$2,1,$G608+1))</f>
        <v>t_director_option1_1102650</v>
      </c>
      <c r="B608" t="str">
        <f>INDEX(最终表!$A:$Y,语言表!$F608+4,INDEX($F$1:$L$1,1,$G608+1))</f>
        <v>别得寸进尺</v>
      </c>
      <c r="F608">
        <f t="shared" si="18"/>
        <v>127</v>
      </c>
      <c r="G608">
        <f t="shared" si="19"/>
        <v>3</v>
      </c>
    </row>
    <row r="609" spans="1:7" x14ac:dyDescent="0.15">
      <c r="A609" t="str">
        <f>INDEX(最终表!$A:$Y,语言表!$F609+4,INDEX($F$2:$L$2,1,$G609+1))</f>
        <v>t_director_option1_1102651</v>
      </c>
      <c r="B609" t="str">
        <f>INDEX(最终表!$A:$Y,语言表!$F609+4,INDEX($F$1:$L$1,1,$G609+1))</f>
        <v/>
      </c>
      <c r="F609">
        <f t="shared" si="18"/>
        <v>128</v>
      </c>
      <c r="G609">
        <f t="shared" si="19"/>
        <v>3</v>
      </c>
    </row>
    <row r="610" spans="1:7" x14ac:dyDescent="0.15">
      <c r="A610" t="str">
        <f>INDEX(最终表!$A:$Y,语言表!$F610+4,INDEX($F$2:$L$2,1,$G610+1))</f>
        <v>t_director_option1_1102652</v>
      </c>
      <c r="B610" t="str">
        <f>INDEX(最终表!$A:$Y,语言表!$F610+4,INDEX($F$1:$L$1,1,$G610+1))</f>
        <v/>
      </c>
      <c r="F610">
        <f t="shared" si="18"/>
        <v>129</v>
      </c>
      <c r="G610">
        <f t="shared" si="19"/>
        <v>3</v>
      </c>
    </row>
    <row r="611" spans="1:7" x14ac:dyDescent="0.15">
      <c r="A611" t="str">
        <f>INDEX(最终表!$A:$Y,语言表!$F611+4,INDEX($F$2:$L$2,1,$G611+1))</f>
        <v>t_director_option1_1102700</v>
      </c>
      <c r="B611" t="str">
        <f>INDEX(最终表!$A:$Y,语言表!$F611+4,INDEX($F$1:$L$1,1,$G611+1))</f>
        <v>我去猎杀</v>
      </c>
      <c r="F611">
        <f t="shared" si="18"/>
        <v>130</v>
      </c>
      <c r="G611">
        <f t="shared" si="19"/>
        <v>3</v>
      </c>
    </row>
    <row r="612" spans="1:7" x14ac:dyDescent="0.15">
      <c r="A612" t="str">
        <f>INDEX(最终表!$A:$Y,语言表!$F612+4,INDEX($F$2:$L$2,1,$G612+1))</f>
        <v>t_director_option1_1102701</v>
      </c>
      <c r="B612" t="str">
        <f>INDEX(最终表!$A:$Y,语言表!$F612+4,INDEX($F$1:$L$1,1,$G612+1))</f>
        <v/>
      </c>
      <c r="F612">
        <f t="shared" si="18"/>
        <v>131</v>
      </c>
      <c r="G612">
        <f t="shared" si="19"/>
        <v>3</v>
      </c>
    </row>
    <row r="613" spans="1:7" x14ac:dyDescent="0.15">
      <c r="A613" t="str">
        <f>INDEX(最终表!$A:$Y,语言表!$F613+4,INDEX($F$2:$L$2,1,$G613+1))</f>
        <v>t_director_option1_1102800</v>
      </c>
      <c r="B613" t="str">
        <f>INDEX(最终表!$A:$Y,语言表!$F613+4,INDEX($F$1:$L$1,1,$G613+1))</f>
        <v>我再去收集</v>
      </c>
      <c r="F613">
        <f t="shared" si="18"/>
        <v>132</v>
      </c>
      <c r="G613">
        <f t="shared" si="19"/>
        <v>3</v>
      </c>
    </row>
    <row r="614" spans="1:7" x14ac:dyDescent="0.15">
      <c r="A614" t="str">
        <f>INDEX(最终表!$A:$Y,语言表!$F614+4,INDEX($F$2:$L$2,1,$G614+1))</f>
        <v>t_director_option1_1102801</v>
      </c>
      <c r="B614" t="str">
        <f>INDEX(最终表!$A:$Y,语言表!$F614+4,INDEX($F$1:$L$1,1,$G614+1))</f>
        <v>少废话，快说神殿的密谋</v>
      </c>
      <c r="F614">
        <f t="shared" si="18"/>
        <v>133</v>
      </c>
      <c r="G614">
        <f t="shared" si="19"/>
        <v>3</v>
      </c>
    </row>
    <row r="615" spans="1:7" x14ac:dyDescent="0.15">
      <c r="A615" t="str">
        <f>INDEX(最终表!$A:$Y,语言表!$F615+4,INDEX($F$2:$L$2,1,$G615+1))</f>
        <v>t_director_option1_1102802</v>
      </c>
      <c r="B615" t="str">
        <f>INDEX(最终表!$A:$Y,语言表!$F615+4,INDEX($F$1:$L$1,1,$G615+1))</f>
        <v/>
      </c>
      <c r="F615">
        <f t="shared" si="18"/>
        <v>134</v>
      </c>
      <c r="G615">
        <f t="shared" si="19"/>
        <v>3</v>
      </c>
    </row>
    <row r="616" spans="1:7" x14ac:dyDescent="0.15">
      <c r="A616" t="str">
        <f>INDEX(最终表!$A:$Y,语言表!$F616+4,INDEX($F$2:$L$2,1,$G616+1))</f>
        <v>t_director_option1_1102803</v>
      </c>
      <c r="B616" t="str">
        <f>INDEX(最终表!$A:$Y,语言表!$F616+4,INDEX($F$1:$L$1,1,$G616+1))</f>
        <v/>
      </c>
      <c r="F616">
        <f t="shared" si="18"/>
        <v>135</v>
      </c>
      <c r="G616">
        <f t="shared" si="19"/>
        <v>3</v>
      </c>
    </row>
    <row r="617" spans="1:7" x14ac:dyDescent="0.15">
      <c r="A617" t="str">
        <f>INDEX(最终表!$A:$Y,语言表!$F617+4,INDEX($F$2:$L$2,1,$G617+1))</f>
        <v>t_director_option1_1102804</v>
      </c>
      <c r="B617" t="str">
        <f>INDEX(最终表!$A:$Y,语言表!$F617+4,INDEX($F$1:$L$1,1,$G617+1))</f>
        <v/>
      </c>
      <c r="F617">
        <f t="shared" si="18"/>
        <v>136</v>
      </c>
      <c r="G617">
        <f t="shared" si="19"/>
        <v>3</v>
      </c>
    </row>
    <row r="618" spans="1:7" x14ac:dyDescent="0.15">
      <c r="A618" t="str">
        <f>INDEX(最终表!$A:$Y,语言表!$F618+4,INDEX($F$2:$L$2,1,$G618+1))</f>
        <v>t_director_option1_1102805</v>
      </c>
      <c r="B618" t="str">
        <f>INDEX(最终表!$A:$Y,语言表!$F618+4,INDEX($F$1:$L$1,1,$G618+1))</f>
        <v/>
      </c>
      <c r="F618">
        <f t="shared" si="18"/>
        <v>137</v>
      </c>
      <c r="G618">
        <f t="shared" si="19"/>
        <v>3</v>
      </c>
    </row>
    <row r="619" spans="1:7" x14ac:dyDescent="0.15">
      <c r="A619" t="str">
        <f>INDEX(最终表!$A:$Y,语言表!$F619+4,INDEX($F$2:$L$2,1,$G619+1))</f>
        <v>t_director_option1_1102900</v>
      </c>
      <c r="B619" t="str">
        <f>INDEX(最终表!$A:$Y,语言表!$F619+4,INDEX($F$1:$L$1,1,$G619+1))</f>
        <v>离开</v>
      </c>
      <c r="F619">
        <f t="shared" si="18"/>
        <v>138</v>
      </c>
      <c r="G619">
        <f t="shared" si="19"/>
        <v>3</v>
      </c>
    </row>
    <row r="620" spans="1:7" x14ac:dyDescent="0.15">
      <c r="A620" t="str">
        <f>INDEX(最终表!$A:$Y,语言表!$F620+4,INDEX($F$2:$L$2,1,$G620+1))</f>
        <v>t_director_option1_1102901</v>
      </c>
      <c r="B620" t="str">
        <f>INDEX(最终表!$A:$Y,语言表!$F620+4,INDEX($F$1:$L$1,1,$G620+1))</f>
        <v>离开</v>
      </c>
      <c r="F620">
        <f t="shared" si="18"/>
        <v>139</v>
      </c>
      <c r="G620">
        <f t="shared" si="19"/>
        <v>3</v>
      </c>
    </row>
    <row r="621" spans="1:7" x14ac:dyDescent="0.15">
      <c r="A621" t="str">
        <f>INDEX(最终表!$A:$Y,语言表!$F621+4,INDEX($F$2:$L$2,1,$G621+1))</f>
        <v>t_director_option1_1103000</v>
      </c>
      <c r="B621" t="str">
        <f>INDEX(最终表!$A:$Y,语言表!$F621+4,INDEX($F$1:$L$1,1,$G621+1))</f>
        <v/>
      </c>
      <c r="F621">
        <f t="shared" si="18"/>
        <v>140</v>
      </c>
      <c r="G621">
        <f t="shared" si="19"/>
        <v>3</v>
      </c>
    </row>
    <row r="622" spans="1:7" x14ac:dyDescent="0.15">
      <c r="A622" t="str">
        <f>INDEX(最终表!$A:$Y,语言表!$F622+4,INDEX($F$2:$L$2,1,$G622+1))</f>
        <v>t_director_option1_1103001</v>
      </c>
      <c r="B622" t="str">
        <f>INDEX(最终表!$A:$Y,语言表!$F622+4,INDEX($F$1:$L$1,1,$G622+1))</f>
        <v/>
      </c>
      <c r="F622">
        <f t="shared" si="18"/>
        <v>141</v>
      </c>
      <c r="G622">
        <f t="shared" si="19"/>
        <v>3</v>
      </c>
    </row>
    <row r="623" spans="1:7" x14ac:dyDescent="0.15">
      <c r="A623" t="str">
        <f>INDEX(最终表!$A:$Y,语言表!$F623+4,INDEX($F$2:$L$2,1,$G623+1))</f>
        <v>t_director_option1_1103002</v>
      </c>
      <c r="B623" t="str">
        <f>INDEX(最终表!$A:$Y,语言表!$F623+4,INDEX($F$1:$L$1,1,$G623+1))</f>
        <v/>
      </c>
      <c r="F623">
        <f t="shared" si="18"/>
        <v>142</v>
      </c>
      <c r="G623">
        <f t="shared" si="19"/>
        <v>3</v>
      </c>
    </row>
    <row r="624" spans="1:7" x14ac:dyDescent="0.15">
      <c r="A624" t="str">
        <f>INDEX(最终表!$A:$Y,语言表!$F624+4,INDEX($F$2:$L$2,1,$G624+1))</f>
        <v>t_director_option1_1103003</v>
      </c>
      <c r="B624" t="str">
        <f>INDEX(最终表!$A:$Y,语言表!$F624+4,INDEX($F$1:$L$1,1,$G624+1))</f>
        <v>我还有事</v>
      </c>
      <c r="F624">
        <f t="shared" si="18"/>
        <v>143</v>
      </c>
      <c r="G624">
        <f t="shared" si="19"/>
        <v>3</v>
      </c>
    </row>
    <row r="625" spans="1:7" x14ac:dyDescent="0.15">
      <c r="A625" t="str">
        <f>INDEX(最终表!$A:$Y,语言表!$F625+4,INDEX($F$2:$L$2,1,$G625+1))</f>
        <v>t_director_option1_1103100</v>
      </c>
      <c r="B625" t="str">
        <f>INDEX(最终表!$A:$Y,语言表!$F625+4,INDEX($F$1:$L$1,1,$G625+1))</f>
        <v/>
      </c>
      <c r="F625">
        <f t="shared" si="18"/>
        <v>144</v>
      </c>
      <c r="G625">
        <f t="shared" si="19"/>
        <v>3</v>
      </c>
    </row>
    <row r="626" spans="1:7" x14ac:dyDescent="0.15">
      <c r="A626" t="str">
        <f>INDEX(最终表!$A:$Y,语言表!$F626+4,INDEX($F$2:$L$2,1,$G626+1))</f>
        <v>t_director_option1_1103101</v>
      </c>
      <c r="B626" t="str">
        <f>INDEX(最终表!$A:$Y,语言表!$F626+4,INDEX($F$1:$L$1,1,$G626+1))</f>
        <v/>
      </c>
      <c r="F626">
        <f t="shared" si="18"/>
        <v>145</v>
      </c>
      <c r="G626">
        <f t="shared" si="19"/>
        <v>3</v>
      </c>
    </row>
    <row r="627" spans="1:7" x14ac:dyDescent="0.15">
      <c r="A627" t="str">
        <f>INDEX(最终表!$A:$Y,语言表!$F627+4,INDEX($F$2:$L$2,1,$G627+1))</f>
        <v>t_director_option1_1103200</v>
      </c>
      <c r="B627" t="str">
        <f>INDEX(最终表!$A:$Y,语言表!$F627+4,INDEX($F$1:$L$1,1,$G627+1))</f>
        <v/>
      </c>
      <c r="F627">
        <f t="shared" si="18"/>
        <v>146</v>
      </c>
      <c r="G627">
        <f t="shared" si="19"/>
        <v>3</v>
      </c>
    </row>
    <row r="628" spans="1:7" x14ac:dyDescent="0.15">
      <c r="A628" t="str">
        <f>INDEX(最终表!$A:$Y,语言表!$F628+4,INDEX($F$2:$L$2,1,$G628+1))</f>
        <v>t_director_option1_1103201</v>
      </c>
      <c r="B628" t="str">
        <f>INDEX(最终表!$A:$Y,语言表!$F628+4,INDEX($F$1:$L$1,1,$G628+1))</f>
        <v/>
      </c>
      <c r="F628">
        <f t="shared" si="18"/>
        <v>147</v>
      </c>
      <c r="G628">
        <f t="shared" si="19"/>
        <v>3</v>
      </c>
    </row>
    <row r="629" spans="1:7" x14ac:dyDescent="0.15">
      <c r="A629" t="str">
        <f>INDEX(最终表!$A:$Y,语言表!$F629+4,INDEX($F$2:$L$2,1,$G629+1))</f>
        <v>t_director_option1_1200100</v>
      </c>
      <c r="B629" t="str">
        <f>INDEX(最终表!$A:$Y,语言表!$F629+4,INDEX($F$1:$L$1,1,$G629+1))</f>
        <v>不是</v>
      </c>
      <c r="F629">
        <f t="shared" si="18"/>
        <v>148</v>
      </c>
      <c r="G629">
        <f t="shared" si="19"/>
        <v>3</v>
      </c>
    </row>
    <row r="630" spans="1:7" x14ac:dyDescent="0.15">
      <c r="A630" t="str">
        <f>INDEX(最终表!$A:$Y,语言表!$F630+4,INDEX($F$2:$L$2,1,$G630+1))</f>
        <v>t_director_option1_1200200</v>
      </c>
      <c r="B630" t="str">
        <f>INDEX(最终表!$A:$Y,语言表!$F630+4,INDEX($F$1:$L$1,1,$G630+1))</f>
        <v>不是</v>
      </c>
      <c r="F630">
        <f t="shared" si="18"/>
        <v>149</v>
      </c>
      <c r="G630">
        <f t="shared" si="19"/>
        <v>3</v>
      </c>
    </row>
    <row r="631" spans="1:7" x14ac:dyDescent="0.15">
      <c r="A631" t="str">
        <f>INDEX(最终表!$A:$Y,语言表!$F631+4,INDEX($F$2:$L$2,1,$G631+1))</f>
        <v>t_director_option1_1200300</v>
      </c>
      <c r="B631" t="str">
        <f>INDEX(最终表!$A:$Y,语言表!$F631+4,INDEX($F$1:$L$1,1,$G631+1))</f>
        <v>不是</v>
      </c>
      <c r="F631">
        <f t="shared" si="18"/>
        <v>150</v>
      </c>
      <c r="G631">
        <f t="shared" si="19"/>
        <v>3</v>
      </c>
    </row>
    <row r="632" spans="1:7" x14ac:dyDescent="0.15">
      <c r="A632" t="str">
        <f>INDEX(最终表!$A:$Y,语言表!$F632+4,INDEX($F$2:$L$2,1,$G632+1))</f>
        <v>t_director_option1_1200400</v>
      </c>
      <c r="B632" t="str">
        <f>INDEX(最终表!$A:$Y,语言表!$F632+4,INDEX($F$1:$L$1,1,$G632+1))</f>
        <v>不是</v>
      </c>
      <c r="F632">
        <f t="shared" si="18"/>
        <v>151</v>
      </c>
      <c r="G632">
        <f t="shared" si="19"/>
        <v>3</v>
      </c>
    </row>
    <row r="633" spans="1:7" x14ac:dyDescent="0.15">
      <c r="A633" t="str">
        <f>INDEX(最终表!$A:$Y,语言表!$F633+4,INDEX($F$2:$L$2,1,$G633+1))</f>
        <v>t_director_option1_2000000</v>
      </c>
      <c r="B633" t="str">
        <f>INDEX(最终表!$A:$Y,语言表!$F633+4,INDEX($F$1:$L$1,1,$G633+1))</f>
        <v/>
      </c>
      <c r="F633">
        <f t="shared" si="18"/>
        <v>152</v>
      </c>
      <c r="G633">
        <f t="shared" si="19"/>
        <v>3</v>
      </c>
    </row>
    <row r="634" spans="1:7" x14ac:dyDescent="0.15">
      <c r="A634" t="str">
        <f>INDEX(最终表!$A:$Y,语言表!$F634+4,INDEX($F$2:$L$2,1,$G634+1))</f>
        <v>t_director_option1_2000001</v>
      </c>
      <c r="B634" t="str">
        <f>INDEX(最终表!$A:$Y,语言表!$F634+4,INDEX($F$1:$L$1,1,$G634+1))</f>
        <v/>
      </c>
      <c r="F634">
        <f t="shared" si="18"/>
        <v>153</v>
      </c>
      <c r="G634">
        <f t="shared" si="19"/>
        <v>3</v>
      </c>
    </row>
    <row r="635" spans="1:7" x14ac:dyDescent="0.15">
      <c r="A635" t="str">
        <f>INDEX(最终表!$A:$Y,语言表!$F635+4,INDEX($F$2:$L$2,1,$G635+1))</f>
        <v>t_director_option1_2000002</v>
      </c>
      <c r="B635" t="str">
        <f>INDEX(最终表!$A:$Y,语言表!$F635+4,INDEX($F$1:$L$1,1,$G635+1))</f>
        <v/>
      </c>
      <c r="F635">
        <f t="shared" si="18"/>
        <v>154</v>
      </c>
      <c r="G635">
        <f t="shared" si="19"/>
        <v>3</v>
      </c>
    </row>
    <row r="636" spans="1:7" x14ac:dyDescent="0.15">
      <c r="A636" t="str">
        <f>INDEX(最终表!$A:$Y,语言表!$F636+4,INDEX($F$2:$L$2,1,$G636+1))</f>
        <v>t_director_option1_2000003</v>
      </c>
      <c r="B636" t="str">
        <f>INDEX(最终表!$A:$Y,语言表!$F636+4,INDEX($F$1:$L$1,1,$G636+1))</f>
        <v/>
      </c>
      <c r="F636">
        <f t="shared" si="18"/>
        <v>155</v>
      </c>
      <c r="G636">
        <f t="shared" si="19"/>
        <v>3</v>
      </c>
    </row>
    <row r="637" spans="1:7" x14ac:dyDescent="0.15">
      <c r="A637" t="str">
        <f>INDEX(最终表!$A:$Y,语言表!$F637+4,INDEX($F$2:$L$2,1,$G637+1))</f>
        <v>t_director_option1_2000004</v>
      </c>
      <c r="B637" t="str">
        <f>INDEX(最终表!$A:$Y,语言表!$F637+4,INDEX($F$1:$L$1,1,$G637+1))</f>
        <v/>
      </c>
      <c r="F637">
        <f t="shared" si="18"/>
        <v>156</v>
      </c>
      <c r="G637">
        <f t="shared" si="19"/>
        <v>3</v>
      </c>
    </row>
    <row r="638" spans="1:7" x14ac:dyDescent="0.15">
      <c r="A638" t="str">
        <f>INDEX(最终表!$A:$Y,语言表!$F638+4,INDEX($F$2:$L$2,1,$G638+1))</f>
        <v>t_director_option1_2000005</v>
      </c>
      <c r="B638" t="str">
        <f>INDEX(最终表!$A:$Y,语言表!$F638+4,INDEX($F$1:$L$1,1,$G638+1))</f>
        <v/>
      </c>
      <c r="F638">
        <f t="shared" si="18"/>
        <v>157</v>
      </c>
      <c r="G638">
        <f t="shared" si="19"/>
        <v>3</v>
      </c>
    </row>
    <row r="639" spans="1:7" x14ac:dyDescent="0.15">
      <c r="A639" t="str">
        <f>INDEX(最终表!$A:$Y,语言表!$F639+4,INDEX($F$2:$L$2,1,$G639+1))</f>
        <v>t_director_option1_2000006</v>
      </c>
      <c r="B639" t="str">
        <f>INDEX(最终表!$A:$Y,语言表!$F639+4,INDEX($F$1:$L$1,1,$G639+1))</f>
        <v/>
      </c>
      <c r="F639">
        <f t="shared" si="18"/>
        <v>158</v>
      </c>
      <c r="G639">
        <f t="shared" si="19"/>
        <v>3</v>
      </c>
    </row>
    <row r="640" spans="1:7" x14ac:dyDescent="0.15">
      <c r="A640" t="str">
        <f>INDEX(最终表!$A:$Y,语言表!$F640+4,INDEX($F$2:$L$2,1,$G640+1))</f>
        <v>t_director_option2_1100100</v>
      </c>
      <c r="B640" t="str">
        <f>INDEX(最终表!$A:$Y,语言表!$F640+4,INDEX($F$1:$L$1,1,$G640+1))</f>
        <v/>
      </c>
      <c r="F640">
        <f t="shared" si="18"/>
        <v>0</v>
      </c>
      <c r="G640">
        <f t="shared" si="19"/>
        <v>4</v>
      </c>
    </row>
    <row r="641" spans="1:7" x14ac:dyDescent="0.15">
      <c r="A641" t="str">
        <f>INDEX(最终表!$A:$Y,语言表!$F641+4,INDEX($F$2:$L$2,1,$G641+1))</f>
        <v>t_director_option2_1100101</v>
      </c>
      <c r="B641" t="str">
        <f>INDEX(最终表!$A:$Y,语言表!$F641+4,INDEX($F$1:$L$1,1,$G641+1))</f>
        <v/>
      </c>
      <c r="F641">
        <f t="shared" si="18"/>
        <v>1</v>
      </c>
      <c r="G641">
        <f t="shared" si="19"/>
        <v>4</v>
      </c>
    </row>
    <row r="642" spans="1:7" x14ac:dyDescent="0.15">
      <c r="A642" t="str">
        <f>INDEX(最终表!$A:$Y,语言表!$F642+4,INDEX($F$2:$L$2,1,$G642+1))</f>
        <v>t_director_option2_1100102</v>
      </c>
      <c r="B642" t="str">
        <f>INDEX(最终表!$A:$Y,语言表!$F642+4,INDEX($F$1:$L$1,1,$G642+1))</f>
        <v/>
      </c>
      <c r="F642">
        <f t="shared" si="18"/>
        <v>2</v>
      </c>
      <c r="G642">
        <f t="shared" si="19"/>
        <v>4</v>
      </c>
    </row>
    <row r="643" spans="1:7" x14ac:dyDescent="0.15">
      <c r="A643" t="str">
        <f>INDEX(最终表!$A:$Y,语言表!$F643+4,INDEX($F$2:$L$2,1,$G643+1))</f>
        <v>t_director_option2_1100200</v>
      </c>
      <c r="B643" t="str">
        <f>INDEX(最终表!$A:$Y,语言表!$F643+4,INDEX($F$1:$L$1,1,$G643+1))</f>
        <v/>
      </c>
      <c r="F643">
        <f t="shared" si="18"/>
        <v>3</v>
      </c>
      <c r="G643">
        <f t="shared" si="19"/>
        <v>4</v>
      </c>
    </row>
    <row r="644" spans="1:7" x14ac:dyDescent="0.15">
      <c r="A644" t="str">
        <f>INDEX(最终表!$A:$Y,语言表!$F644+4,INDEX($F$2:$L$2,1,$G644+1))</f>
        <v>t_director_option2_1100201</v>
      </c>
      <c r="B644" t="str">
        <f>INDEX(最终表!$A:$Y,语言表!$F644+4,INDEX($F$1:$L$1,1,$G644+1))</f>
        <v/>
      </c>
      <c r="F644">
        <f t="shared" si="18"/>
        <v>4</v>
      </c>
      <c r="G644">
        <f t="shared" si="19"/>
        <v>4</v>
      </c>
    </row>
    <row r="645" spans="1:7" x14ac:dyDescent="0.15">
      <c r="A645" t="str">
        <f>INDEX(最终表!$A:$Y,语言表!$F645+4,INDEX($F$2:$L$2,1,$G645+1))</f>
        <v>t_director_option2_1100202</v>
      </c>
      <c r="B645" t="str">
        <f>INDEX(最终表!$A:$Y,语言表!$F645+4,INDEX($F$1:$L$1,1,$G645+1))</f>
        <v/>
      </c>
      <c r="F645">
        <f t="shared" ref="F645:F708" si="20">MOD(ROW()-4,$N$1-3)</f>
        <v>5</v>
      </c>
      <c r="G645">
        <f t="shared" ref="G645:G708" si="21">INT((ROW()-4)/($N$1-3))</f>
        <v>4</v>
      </c>
    </row>
    <row r="646" spans="1:7" x14ac:dyDescent="0.15">
      <c r="A646" t="str">
        <f>INDEX(最终表!$A:$Y,语言表!$F646+4,INDEX($F$2:$L$2,1,$G646+1))</f>
        <v>t_director_option2_1100203</v>
      </c>
      <c r="B646" t="str">
        <f>INDEX(最终表!$A:$Y,语言表!$F646+4,INDEX($F$1:$L$1,1,$G646+1))</f>
        <v/>
      </c>
      <c r="F646">
        <f t="shared" si="20"/>
        <v>6</v>
      </c>
      <c r="G646">
        <f t="shared" si="21"/>
        <v>4</v>
      </c>
    </row>
    <row r="647" spans="1:7" x14ac:dyDescent="0.15">
      <c r="A647" t="str">
        <f>INDEX(最终表!$A:$Y,语言表!$F647+4,INDEX($F$2:$L$2,1,$G647+1))</f>
        <v>t_director_option2_1100300</v>
      </c>
      <c r="B647" t="str">
        <f>INDEX(最终表!$A:$Y,语言表!$F647+4,INDEX($F$1:$L$1,1,$G647+1))</f>
        <v/>
      </c>
      <c r="F647">
        <f t="shared" si="20"/>
        <v>7</v>
      </c>
      <c r="G647">
        <f t="shared" si="21"/>
        <v>4</v>
      </c>
    </row>
    <row r="648" spans="1:7" x14ac:dyDescent="0.15">
      <c r="A648" t="str">
        <f>INDEX(最终表!$A:$Y,语言表!$F648+4,INDEX($F$2:$L$2,1,$G648+1))</f>
        <v>t_director_option2_1100301</v>
      </c>
      <c r="B648" t="str">
        <f>INDEX(最终表!$A:$Y,语言表!$F648+4,INDEX($F$1:$L$1,1,$G648+1))</f>
        <v/>
      </c>
      <c r="F648">
        <f t="shared" si="20"/>
        <v>8</v>
      </c>
      <c r="G648">
        <f t="shared" si="21"/>
        <v>4</v>
      </c>
    </row>
    <row r="649" spans="1:7" x14ac:dyDescent="0.15">
      <c r="A649" t="str">
        <f>INDEX(最终表!$A:$Y,语言表!$F649+4,INDEX($F$2:$L$2,1,$G649+1))</f>
        <v>t_director_option2_1100400</v>
      </c>
      <c r="B649" t="str">
        <f>INDEX(最终表!$A:$Y,语言表!$F649+4,INDEX($F$1:$L$1,1,$G649+1))</f>
        <v/>
      </c>
      <c r="F649">
        <f t="shared" si="20"/>
        <v>9</v>
      </c>
      <c r="G649">
        <f t="shared" si="21"/>
        <v>4</v>
      </c>
    </row>
    <row r="650" spans="1:7" x14ac:dyDescent="0.15">
      <c r="A650" t="str">
        <f>INDEX(最终表!$A:$Y,语言表!$F650+4,INDEX($F$2:$L$2,1,$G650+1))</f>
        <v>t_director_option2_1100401</v>
      </c>
      <c r="B650" t="str">
        <f>INDEX(最终表!$A:$Y,语言表!$F650+4,INDEX($F$1:$L$1,1,$G650+1))</f>
        <v/>
      </c>
      <c r="F650">
        <f t="shared" si="20"/>
        <v>10</v>
      </c>
      <c r="G650">
        <f t="shared" si="21"/>
        <v>4</v>
      </c>
    </row>
    <row r="651" spans="1:7" x14ac:dyDescent="0.15">
      <c r="A651" t="str">
        <f>INDEX(最终表!$A:$Y,语言表!$F651+4,INDEX($F$2:$L$2,1,$G651+1))</f>
        <v>t_director_option2_1100450</v>
      </c>
      <c r="B651" t="str">
        <f>INDEX(最终表!$A:$Y,语言表!$F651+4,INDEX($F$1:$L$1,1,$G651+1))</f>
        <v/>
      </c>
      <c r="F651">
        <f t="shared" si="20"/>
        <v>11</v>
      </c>
      <c r="G651">
        <f t="shared" si="21"/>
        <v>4</v>
      </c>
    </row>
    <row r="652" spans="1:7" x14ac:dyDescent="0.15">
      <c r="A652" t="str">
        <f>INDEX(最终表!$A:$Y,语言表!$F652+4,INDEX($F$2:$L$2,1,$G652+1))</f>
        <v>t_director_option2_1100451</v>
      </c>
      <c r="B652" t="str">
        <f>INDEX(最终表!$A:$Y,语言表!$F652+4,INDEX($F$1:$L$1,1,$G652+1))</f>
        <v/>
      </c>
      <c r="F652">
        <f t="shared" si="20"/>
        <v>12</v>
      </c>
      <c r="G652">
        <f t="shared" si="21"/>
        <v>4</v>
      </c>
    </row>
    <row r="653" spans="1:7" x14ac:dyDescent="0.15">
      <c r="A653" t="str">
        <f>INDEX(最终表!$A:$Y,语言表!$F653+4,INDEX($F$2:$L$2,1,$G653+1))</f>
        <v>t_director_option2_1100480</v>
      </c>
      <c r="B653" t="str">
        <f>INDEX(最终表!$A:$Y,语言表!$F653+4,INDEX($F$1:$L$1,1,$G653+1))</f>
        <v/>
      </c>
      <c r="F653">
        <f t="shared" si="20"/>
        <v>13</v>
      </c>
      <c r="G653">
        <f t="shared" si="21"/>
        <v>4</v>
      </c>
    </row>
    <row r="654" spans="1:7" x14ac:dyDescent="0.15">
      <c r="A654" t="str">
        <f>INDEX(最终表!$A:$Y,语言表!$F654+4,INDEX($F$2:$L$2,1,$G654+1))</f>
        <v>t_director_option2_1100481</v>
      </c>
      <c r="B654" t="str">
        <f>INDEX(最终表!$A:$Y,语言表!$F654+4,INDEX($F$1:$L$1,1,$G654+1))</f>
        <v/>
      </c>
      <c r="F654">
        <f t="shared" si="20"/>
        <v>14</v>
      </c>
      <c r="G654">
        <f t="shared" si="21"/>
        <v>4</v>
      </c>
    </row>
    <row r="655" spans="1:7" x14ac:dyDescent="0.15">
      <c r="A655" t="str">
        <f>INDEX(最终表!$A:$Y,语言表!$F655+4,INDEX($F$2:$L$2,1,$G655+1))</f>
        <v>t_director_option2_1100500</v>
      </c>
      <c r="B655" t="str">
        <f>INDEX(最终表!$A:$Y,语言表!$F655+4,INDEX($F$1:$L$1,1,$G655+1))</f>
        <v/>
      </c>
      <c r="F655">
        <f t="shared" si="20"/>
        <v>15</v>
      </c>
      <c r="G655">
        <f t="shared" si="21"/>
        <v>4</v>
      </c>
    </row>
    <row r="656" spans="1:7" x14ac:dyDescent="0.15">
      <c r="A656" t="str">
        <f>INDEX(最终表!$A:$Y,语言表!$F656+4,INDEX($F$2:$L$2,1,$G656+1))</f>
        <v>t_director_option2_1100501</v>
      </c>
      <c r="B656" t="str">
        <f>INDEX(最终表!$A:$Y,语言表!$F656+4,INDEX($F$1:$L$1,1,$G656+1))</f>
        <v/>
      </c>
      <c r="F656">
        <f t="shared" si="20"/>
        <v>16</v>
      </c>
      <c r="G656">
        <f t="shared" si="21"/>
        <v>4</v>
      </c>
    </row>
    <row r="657" spans="1:7" x14ac:dyDescent="0.15">
      <c r="A657" t="str">
        <f>INDEX(最终表!$A:$Y,语言表!$F657+4,INDEX($F$2:$L$2,1,$G657+1))</f>
        <v>t_director_option2_1100550</v>
      </c>
      <c r="B657" t="str">
        <f>INDEX(最终表!$A:$Y,语言表!$F657+4,INDEX($F$1:$L$1,1,$G657+1))</f>
        <v/>
      </c>
      <c r="F657">
        <f t="shared" si="20"/>
        <v>17</v>
      </c>
      <c r="G657">
        <f t="shared" si="21"/>
        <v>4</v>
      </c>
    </row>
    <row r="658" spans="1:7" x14ac:dyDescent="0.15">
      <c r="A658" t="str">
        <f>INDEX(最终表!$A:$Y,语言表!$F658+4,INDEX($F$2:$L$2,1,$G658+1))</f>
        <v>t_director_option2_1100551</v>
      </c>
      <c r="B658" t="str">
        <f>INDEX(最终表!$A:$Y,语言表!$F658+4,INDEX($F$1:$L$1,1,$G658+1))</f>
        <v/>
      </c>
      <c r="F658">
        <f t="shared" si="20"/>
        <v>18</v>
      </c>
      <c r="G658">
        <f t="shared" si="21"/>
        <v>4</v>
      </c>
    </row>
    <row r="659" spans="1:7" x14ac:dyDescent="0.15">
      <c r="A659" t="str">
        <f>INDEX(最终表!$A:$Y,语言表!$F659+4,INDEX($F$2:$L$2,1,$G659+1))</f>
        <v>t_director_option2_1100552</v>
      </c>
      <c r="B659" t="str">
        <f>INDEX(最终表!$A:$Y,语言表!$F659+4,INDEX($F$1:$L$1,1,$G659+1))</f>
        <v/>
      </c>
      <c r="F659">
        <f t="shared" si="20"/>
        <v>19</v>
      </c>
      <c r="G659">
        <f t="shared" si="21"/>
        <v>4</v>
      </c>
    </row>
    <row r="660" spans="1:7" x14ac:dyDescent="0.15">
      <c r="A660" t="str">
        <f>INDEX(最终表!$A:$Y,语言表!$F660+4,INDEX($F$2:$L$2,1,$G660+1))</f>
        <v>t_director_option2_1100553</v>
      </c>
      <c r="B660" t="str">
        <f>INDEX(最终表!$A:$Y,语言表!$F660+4,INDEX($F$1:$L$1,1,$G660+1))</f>
        <v/>
      </c>
      <c r="F660">
        <f t="shared" si="20"/>
        <v>20</v>
      </c>
      <c r="G660">
        <f t="shared" si="21"/>
        <v>4</v>
      </c>
    </row>
    <row r="661" spans="1:7" x14ac:dyDescent="0.15">
      <c r="A661" t="str">
        <f>INDEX(最终表!$A:$Y,语言表!$F661+4,INDEX($F$2:$L$2,1,$G661+1))</f>
        <v>t_director_option2_1100580</v>
      </c>
      <c r="B661" t="str">
        <f>INDEX(最终表!$A:$Y,语言表!$F661+4,INDEX($F$1:$L$1,1,$G661+1))</f>
        <v/>
      </c>
      <c r="F661">
        <f t="shared" si="20"/>
        <v>21</v>
      </c>
      <c r="G661">
        <f t="shared" si="21"/>
        <v>4</v>
      </c>
    </row>
    <row r="662" spans="1:7" x14ac:dyDescent="0.15">
      <c r="A662" t="str">
        <f>INDEX(最终表!$A:$Y,语言表!$F662+4,INDEX($F$2:$L$2,1,$G662+1))</f>
        <v>t_director_option2_1100581</v>
      </c>
      <c r="B662" t="str">
        <f>INDEX(最终表!$A:$Y,语言表!$F662+4,INDEX($F$1:$L$1,1,$G662+1))</f>
        <v/>
      </c>
      <c r="F662">
        <f t="shared" si="20"/>
        <v>22</v>
      </c>
      <c r="G662">
        <f t="shared" si="21"/>
        <v>4</v>
      </c>
    </row>
    <row r="663" spans="1:7" x14ac:dyDescent="0.15">
      <c r="A663" t="str">
        <f>INDEX(最终表!$A:$Y,语言表!$F663+4,INDEX($F$2:$L$2,1,$G663+1))</f>
        <v>t_director_option2_1100600</v>
      </c>
      <c r="B663" t="str">
        <f>INDEX(最终表!$A:$Y,语言表!$F663+4,INDEX($F$1:$L$1,1,$G663+1))</f>
        <v/>
      </c>
      <c r="F663">
        <f t="shared" si="20"/>
        <v>23</v>
      </c>
      <c r="G663">
        <f t="shared" si="21"/>
        <v>4</v>
      </c>
    </row>
    <row r="664" spans="1:7" x14ac:dyDescent="0.15">
      <c r="A664" t="str">
        <f>INDEX(最终表!$A:$Y,语言表!$F664+4,INDEX($F$2:$L$2,1,$G664+1))</f>
        <v>t_director_option2_1100601</v>
      </c>
      <c r="B664" t="str">
        <f>INDEX(最终表!$A:$Y,语言表!$F664+4,INDEX($F$1:$L$1,1,$G664+1))</f>
        <v/>
      </c>
      <c r="F664">
        <f t="shared" si="20"/>
        <v>24</v>
      </c>
      <c r="G664">
        <f t="shared" si="21"/>
        <v>4</v>
      </c>
    </row>
    <row r="665" spans="1:7" x14ac:dyDescent="0.15">
      <c r="A665" t="str">
        <f>INDEX(最终表!$A:$Y,语言表!$F665+4,INDEX($F$2:$L$2,1,$G665+1))</f>
        <v>t_director_option2_1100602</v>
      </c>
      <c r="B665" t="str">
        <f>INDEX(最终表!$A:$Y,语言表!$F665+4,INDEX($F$1:$L$1,1,$G665+1))</f>
        <v/>
      </c>
      <c r="F665">
        <f t="shared" si="20"/>
        <v>25</v>
      </c>
      <c r="G665">
        <f t="shared" si="21"/>
        <v>4</v>
      </c>
    </row>
    <row r="666" spans="1:7" x14ac:dyDescent="0.15">
      <c r="A666" t="str">
        <f>INDEX(最终表!$A:$Y,语言表!$F666+4,INDEX($F$2:$L$2,1,$G666+1))</f>
        <v>t_director_option2_1100603</v>
      </c>
      <c r="B666" t="str">
        <f>INDEX(最终表!$A:$Y,语言表!$F666+4,INDEX($F$1:$L$1,1,$G666+1))</f>
        <v/>
      </c>
      <c r="F666">
        <f t="shared" si="20"/>
        <v>26</v>
      </c>
      <c r="G666">
        <f t="shared" si="21"/>
        <v>4</v>
      </c>
    </row>
    <row r="667" spans="1:7" x14ac:dyDescent="0.15">
      <c r="A667" t="str">
        <f>INDEX(最终表!$A:$Y,语言表!$F667+4,INDEX($F$2:$L$2,1,$G667+1))</f>
        <v>t_director_option2_1100604</v>
      </c>
      <c r="B667" t="str">
        <f>INDEX(最终表!$A:$Y,语言表!$F667+4,INDEX($F$1:$L$1,1,$G667+1))</f>
        <v/>
      </c>
      <c r="F667">
        <f t="shared" si="20"/>
        <v>27</v>
      </c>
      <c r="G667">
        <f t="shared" si="21"/>
        <v>4</v>
      </c>
    </row>
    <row r="668" spans="1:7" x14ac:dyDescent="0.15">
      <c r="A668" t="str">
        <f>INDEX(最终表!$A:$Y,语言表!$F668+4,INDEX($F$2:$L$2,1,$G668+1))</f>
        <v>t_director_option2_1100700</v>
      </c>
      <c r="B668" t="str">
        <f>INDEX(最终表!$A:$Y,语言表!$F668+4,INDEX($F$1:$L$1,1,$G668+1))</f>
        <v/>
      </c>
      <c r="F668">
        <f t="shared" si="20"/>
        <v>28</v>
      </c>
      <c r="G668">
        <f t="shared" si="21"/>
        <v>4</v>
      </c>
    </row>
    <row r="669" spans="1:7" x14ac:dyDescent="0.15">
      <c r="A669" t="str">
        <f>INDEX(最终表!$A:$Y,语言表!$F669+4,INDEX($F$2:$L$2,1,$G669+1))</f>
        <v>t_director_option2_1100701</v>
      </c>
      <c r="B669" t="str">
        <f>INDEX(最终表!$A:$Y,语言表!$F669+4,INDEX($F$1:$L$1,1,$G669+1))</f>
        <v/>
      </c>
      <c r="F669">
        <f t="shared" si="20"/>
        <v>29</v>
      </c>
      <c r="G669">
        <f t="shared" si="21"/>
        <v>4</v>
      </c>
    </row>
    <row r="670" spans="1:7" x14ac:dyDescent="0.15">
      <c r="A670" t="str">
        <f>INDEX(最终表!$A:$Y,语言表!$F670+4,INDEX($F$2:$L$2,1,$G670+1))</f>
        <v>t_director_option2_1100702</v>
      </c>
      <c r="B670" t="str">
        <f>INDEX(最终表!$A:$Y,语言表!$F670+4,INDEX($F$1:$L$1,1,$G670+1))</f>
        <v/>
      </c>
      <c r="F670">
        <f t="shared" si="20"/>
        <v>30</v>
      </c>
      <c r="G670">
        <f t="shared" si="21"/>
        <v>4</v>
      </c>
    </row>
    <row r="671" spans="1:7" x14ac:dyDescent="0.15">
      <c r="A671" t="str">
        <f>INDEX(最终表!$A:$Y,语言表!$F671+4,INDEX($F$2:$L$2,1,$G671+1))</f>
        <v>t_director_option2_1100800</v>
      </c>
      <c r="B671" t="str">
        <f>INDEX(最终表!$A:$Y,语言表!$F671+4,INDEX($F$1:$L$1,1,$G671+1))</f>
        <v/>
      </c>
      <c r="F671">
        <f t="shared" si="20"/>
        <v>31</v>
      </c>
      <c r="G671">
        <f t="shared" si="21"/>
        <v>4</v>
      </c>
    </row>
    <row r="672" spans="1:7" x14ac:dyDescent="0.15">
      <c r="A672" t="str">
        <f>INDEX(最终表!$A:$Y,语言表!$F672+4,INDEX($F$2:$L$2,1,$G672+1))</f>
        <v>t_director_option2_1100801</v>
      </c>
      <c r="B672" t="str">
        <f>INDEX(最终表!$A:$Y,语言表!$F672+4,INDEX($F$1:$L$1,1,$G672+1))</f>
        <v/>
      </c>
      <c r="F672">
        <f t="shared" si="20"/>
        <v>32</v>
      </c>
      <c r="G672">
        <f t="shared" si="21"/>
        <v>4</v>
      </c>
    </row>
    <row r="673" spans="1:7" x14ac:dyDescent="0.15">
      <c r="A673" t="str">
        <f>INDEX(最终表!$A:$Y,语言表!$F673+4,INDEX($F$2:$L$2,1,$G673+1))</f>
        <v>t_director_option2_1100802</v>
      </c>
      <c r="B673" t="str">
        <f>INDEX(最终表!$A:$Y,语言表!$F673+4,INDEX($F$1:$L$1,1,$G673+1))</f>
        <v/>
      </c>
      <c r="F673">
        <f t="shared" si="20"/>
        <v>33</v>
      </c>
      <c r="G673">
        <f t="shared" si="21"/>
        <v>4</v>
      </c>
    </row>
    <row r="674" spans="1:7" x14ac:dyDescent="0.15">
      <c r="A674" t="str">
        <f>INDEX(最终表!$A:$Y,语言表!$F674+4,INDEX($F$2:$L$2,1,$G674+1))</f>
        <v>t_director_option2_1100803</v>
      </c>
      <c r="B674" t="str">
        <f>INDEX(最终表!$A:$Y,语言表!$F674+4,INDEX($F$1:$L$1,1,$G674+1))</f>
        <v/>
      </c>
      <c r="F674">
        <f t="shared" si="20"/>
        <v>34</v>
      </c>
      <c r="G674">
        <f t="shared" si="21"/>
        <v>4</v>
      </c>
    </row>
    <row r="675" spans="1:7" x14ac:dyDescent="0.15">
      <c r="A675" t="str">
        <f>INDEX(最终表!$A:$Y,语言表!$F675+4,INDEX($F$2:$L$2,1,$G675+1))</f>
        <v>t_director_option2_1100804</v>
      </c>
      <c r="B675" t="str">
        <f>INDEX(最终表!$A:$Y,语言表!$F675+4,INDEX($F$1:$L$1,1,$G675+1))</f>
        <v/>
      </c>
      <c r="F675">
        <f t="shared" si="20"/>
        <v>35</v>
      </c>
      <c r="G675">
        <f t="shared" si="21"/>
        <v>4</v>
      </c>
    </row>
    <row r="676" spans="1:7" x14ac:dyDescent="0.15">
      <c r="A676" t="str">
        <f>INDEX(最终表!$A:$Y,语言表!$F676+4,INDEX($F$2:$L$2,1,$G676+1))</f>
        <v>t_director_option2_1100805</v>
      </c>
      <c r="B676" t="str">
        <f>INDEX(最终表!$A:$Y,语言表!$F676+4,INDEX($F$1:$L$1,1,$G676+1))</f>
        <v/>
      </c>
      <c r="F676">
        <f t="shared" si="20"/>
        <v>36</v>
      </c>
      <c r="G676">
        <f t="shared" si="21"/>
        <v>4</v>
      </c>
    </row>
    <row r="677" spans="1:7" x14ac:dyDescent="0.15">
      <c r="A677" t="str">
        <f>INDEX(最终表!$A:$Y,语言表!$F677+4,INDEX($F$2:$L$2,1,$G677+1))</f>
        <v>t_director_option2_1100900</v>
      </c>
      <c r="B677" t="str">
        <f>INDEX(最终表!$A:$Y,语言表!$F677+4,INDEX($F$1:$L$1,1,$G677+1))</f>
        <v/>
      </c>
      <c r="F677">
        <f t="shared" si="20"/>
        <v>37</v>
      </c>
      <c r="G677">
        <f t="shared" si="21"/>
        <v>4</v>
      </c>
    </row>
    <row r="678" spans="1:7" x14ac:dyDescent="0.15">
      <c r="A678" t="str">
        <f>INDEX(最终表!$A:$Y,语言表!$F678+4,INDEX($F$2:$L$2,1,$G678+1))</f>
        <v>t_director_option2_1100901</v>
      </c>
      <c r="B678" t="str">
        <f>INDEX(最终表!$A:$Y,语言表!$F678+4,INDEX($F$1:$L$1,1,$G678+1))</f>
        <v/>
      </c>
      <c r="F678">
        <f t="shared" si="20"/>
        <v>38</v>
      </c>
      <c r="G678">
        <f t="shared" si="21"/>
        <v>4</v>
      </c>
    </row>
    <row r="679" spans="1:7" x14ac:dyDescent="0.15">
      <c r="A679" t="str">
        <f>INDEX(最终表!$A:$Y,语言表!$F679+4,INDEX($F$2:$L$2,1,$G679+1))</f>
        <v>t_director_option2_1100902</v>
      </c>
      <c r="B679" t="str">
        <f>INDEX(最终表!$A:$Y,语言表!$F679+4,INDEX($F$1:$L$1,1,$G679+1))</f>
        <v/>
      </c>
      <c r="F679">
        <f t="shared" si="20"/>
        <v>39</v>
      </c>
      <c r="G679">
        <f t="shared" si="21"/>
        <v>4</v>
      </c>
    </row>
    <row r="680" spans="1:7" x14ac:dyDescent="0.15">
      <c r="A680" t="str">
        <f>INDEX(最终表!$A:$Y,语言表!$F680+4,INDEX($F$2:$L$2,1,$G680+1))</f>
        <v>t_director_option2_1100903</v>
      </c>
      <c r="B680" t="str">
        <f>INDEX(最终表!$A:$Y,语言表!$F680+4,INDEX($F$1:$L$1,1,$G680+1))</f>
        <v/>
      </c>
      <c r="F680">
        <f t="shared" si="20"/>
        <v>40</v>
      </c>
      <c r="G680">
        <f t="shared" si="21"/>
        <v>4</v>
      </c>
    </row>
    <row r="681" spans="1:7" x14ac:dyDescent="0.15">
      <c r="A681" t="str">
        <f>INDEX(最终表!$A:$Y,语言表!$F681+4,INDEX($F$2:$L$2,1,$G681+1))</f>
        <v>t_director_option2_1100904</v>
      </c>
      <c r="B681" t="str">
        <f>INDEX(最终表!$A:$Y,语言表!$F681+4,INDEX($F$1:$L$1,1,$G681+1))</f>
        <v/>
      </c>
      <c r="F681">
        <f t="shared" si="20"/>
        <v>41</v>
      </c>
      <c r="G681">
        <f t="shared" si="21"/>
        <v>4</v>
      </c>
    </row>
    <row r="682" spans="1:7" x14ac:dyDescent="0.15">
      <c r="A682" t="str">
        <f>INDEX(最终表!$A:$Y,语言表!$F682+4,INDEX($F$2:$L$2,1,$G682+1))</f>
        <v>t_director_option2_1100905</v>
      </c>
      <c r="B682" t="str">
        <f>INDEX(最终表!$A:$Y,语言表!$F682+4,INDEX($F$1:$L$1,1,$G682+1))</f>
        <v/>
      </c>
      <c r="F682">
        <f t="shared" si="20"/>
        <v>42</v>
      </c>
      <c r="G682">
        <f t="shared" si="21"/>
        <v>4</v>
      </c>
    </row>
    <row r="683" spans="1:7" x14ac:dyDescent="0.15">
      <c r="A683" t="str">
        <f>INDEX(最终表!$A:$Y,语言表!$F683+4,INDEX($F$2:$L$2,1,$G683+1))</f>
        <v>t_director_option2_1100906</v>
      </c>
      <c r="B683" t="str">
        <f>INDEX(最终表!$A:$Y,语言表!$F683+4,INDEX($F$1:$L$1,1,$G683+1))</f>
        <v>50分钟</v>
      </c>
      <c r="F683">
        <f t="shared" si="20"/>
        <v>43</v>
      </c>
      <c r="G683">
        <f t="shared" si="21"/>
        <v>4</v>
      </c>
    </row>
    <row r="684" spans="1:7" x14ac:dyDescent="0.15">
      <c r="A684" t="str">
        <f>INDEX(最终表!$A:$Y,语言表!$F684+4,INDEX($F$2:$L$2,1,$G684+1))</f>
        <v>t_director_option2_1100907</v>
      </c>
      <c r="B684" t="str">
        <f>INDEX(最终表!$A:$Y,语言表!$F684+4,INDEX($F$1:$L$1,1,$G684+1))</f>
        <v>1个</v>
      </c>
      <c r="F684">
        <f t="shared" si="20"/>
        <v>44</v>
      </c>
      <c r="G684">
        <f t="shared" si="21"/>
        <v>4</v>
      </c>
    </row>
    <row r="685" spans="1:7" x14ac:dyDescent="0.15">
      <c r="A685" t="str">
        <f>INDEX(最终表!$A:$Y,语言表!$F685+4,INDEX($F$2:$L$2,1,$G685+1))</f>
        <v>t_director_option2_1100908</v>
      </c>
      <c r="B685" t="str">
        <f>INDEX(最终表!$A:$Y,语言表!$F685+4,INDEX($F$1:$L$1,1,$G685+1))</f>
        <v/>
      </c>
      <c r="F685">
        <f t="shared" si="20"/>
        <v>45</v>
      </c>
      <c r="G685">
        <f t="shared" si="21"/>
        <v>4</v>
      </c>
    </row>
    <row r="686" spans="1:7" x14ac:dyDescent="0.15">
      <c r="A686" t="str">
        <f>INDEX(最终表!$A:$Y,语言表!$F686+4,INDEX($F$2:$L$2,1,$G686+1))</f>
        <v>t_director_option2_1100909</v>
      </c>
      <c r="B686" t="str">
        <f>INDEX(最终表!$A:$Y,语言表!$F686+4,INDEX($F$1:$L$1,1,$G686+1))</f>
        <v/>
      </c>
      <c r="F686">
        <f t="shared" si="20"/>
        <v>46</v>
      </c>
      <c r="G686">
        <f t="shared" si="21"/>
        <v>4</v>
      </c>
    </row>
    <row r="687" spans="1:7" x14ac:dyDescent="0.15">
      <c r="A687" t="str">
        <f>INDEX(最终表!$A:$Y,语言表!$F687+4,INDEX($F$2:$L$2,1,$G687+1))</f>
        <v>t_director_option2_1100910</v>
      </c>
      <c r="B687" t="str">
        <f>INDEX(最终表!$A:$Y,语言表!$F687+4,INDEX($F$1:$L$1,1,$G687+1))</f>
        <v/>
      </c>
      <c r="F687">
        <f t="shared" si="20"/>
        <v>47</v>
      </c>
      <c r="G687">
        <f t="shared" si="21"/>
        <v>4</v>
      </c>
    </row>
    <row r="688" spans="1:7" x14ac:dyDescent="0.15">
      <c r="A688" t="str">
        <f>INDEX(最终表!$A:$Y,语言表!$F688+4,INDEX($F$2:$L$2,1,$G688+1))</f>
        <v>t_director_option2_1100911</v>
      </c>
      <c r="B688" t="str">
        <f>INDEX(最终表!$A:$Y,语言表!$F688+4,INDEX($F$1:$L$1,1,$G688+1))</f>
        <v/>
      </c>
      <c r="F688">
        <f t="shared" si="20"/>
        <v>48</v>
      </c>
      <c r="G688">
        <f t="shared" si="21"/>
        <v>4</v>
      </c>
    </row>
    <row r="689" spans="1:7" x14ac:dyDescent="0.15">
      <c r="A689" t="str">
        <f>INDEX(最终表!$A:$Y,语言表!$F689+4,INDEX($F$2:$L$2,1,$G689+1))</f>
        <v>t_director_option2_1100912</v>
      </c>
      <c r="B689" t="str">
        <f>INDEX(最终表!$A:$Y,语言表!$F689+4,INDEX($F$1:$L$1,1,$G689+1))</f>
        <v/>
      </c>
      <c r="F689">
        <f t="shared" si="20"/>
        <v>49</v>
      </c>
      <c r="G689">
        <f t="shared" si="21"/>
        <v>4</v>
      </c>
    </row>
    <row r="690" spans="1:7" x14ac:dyDescent="0.15">
      <c r="A690" t="str">
        <f>INDEX(最终表!$A:$Y,语言表!$F690+4,INDEX($F$2:$L$2,1,$G690+1))</f>
        <v>t_director_option2_1101000</v>
      </c>
      <c r="B690" t="str">
        <f>INDEX(最终表!$A:$Y,语言表!$F690+4,INDEX($F$1:$L$1,1,$G690+1))</f>
        <v/>
      </c>
      <c r="F690">
        <f t="shared" si="20"/>
        <v>50</v>
      </c>
      <c r="G690">
        <f t="shared" si="21"/>
        <v>4</v>
      </c>
    </row>
    <row r="691" spans="1:7" x14ac:dyDescent="0.15">
      <c r="A691" t="str">
        <f>INDEX(最终表!$A:$Y,语言表!$F691+4,INDEX($F$2:$L$2,1,$G691+1))</f>
        <v>t_director_option2_1101001</v>
      </c>
      <c r="B691" t="str">
        <f>INDEX(最终表!$A:$Y,语言表!$F691+4,INDEX($F$1:$L$1,1,$G691+1))</f>
        <v/>
      </c>
      <c r="F691">
        <f t="shared" si="20"/>
        <v>51</v>
      </c>
      <c r="G691">
        <f t="shared" si="21"/>
        <v>4</v>
      </c>
    </row>
    <row r="692" spans="1:7" x14ac:dyDescent="0.15">
      <c r="A692" t="str">
        <f>INDEX(最终表!$A:$Y,语言表!$F692+4,INDEX($F$2:$L$2,1,$G692+1))</f>
        <v>t_director_option2_1101002</v>
      </c>
      <c r="B692" t="str">
        <f>INDEX(最终表!$A:$Y,语言表!$F692+4,INDEX($F$1:$L$1,1,$G692+1))</f>
        <v/>
      </c>
      <c r="F692">
        <f t="shared" si="20"/>
        <v>52</v>
      </c>
      <c r="G692">
        <f t="shared" si="21"/>
        <v>4</v>
      </c>
    </row>
    <row r="693" spans="1:7" x14ac:dyDescent="0.15">
      <c r="A693" t="str">
        <f>INDEX(最终表!$A:$Y,语言表!$F693+4,INDEX($F$2:$L$2,1,$G693+1))</f>
        <v>t_director_option2_1101100</v>
      </c>
      <c r="B693" t="str">
        <f>INDEX(最终表!$A:$Y,语言表!$F693+4,INDEX($F$1:$L$1,1,$G693+1))</f>
        <v/>
      </c>
      <c r="F693">
        <f t="shared" si="20"/>
        <v>53</v>
      </c>
      <c r="G693">
        <f t="shared" si="21"/>
        <v>4</v>
      </c>
    </row>
    <row r="694" spans="1:7" x14ac:dyDescent="0.15">
      <c r="A694" t="str">
        <f>INDEX(最终表!$A:$Y,语言表!$F694+4,INDEX($F$2:$L$2,1,$G694+1))</f>
        <v>t_director_option2_1101101</v>
      </c>
      <c r="B694" t="str">
        <f>INDEX(最终表!$A:$Y,语言表!$F694+4,INDEX($F$1:$L$1,1,$G694+1))</f>
        <v/>
      </c>
      <c r="F694">
        <f t="shared" si="20"/>
        <v>54</v>
      </c>
      <c r="G694">
        <f t="shared" si="21"/>
        <v>4</v>
      </c>
    </row>
    <row r="695" spans="1:7" x14ac:dyDescent="0.15">
      <c r="A695" t="str">
        <f>INDEX(最终表!$A:$Y,语言表!$F695+4,INDEX($F$2:$L$2,1,$G695+1))</f>
        <v>t_director_option2_1101110</v>
      </c>
      <c r="B695" t="str">
        <f>INDEX(最终表!$A:$Y,语言表!$F695+4,INDEX($F$1:$L$1,1,$G695+1))</f>
        <v/>
      </c>
      <c r="F695">
        <f t="shared" si="20"/>
        <v>55</v>
      </c>
      <c r="G695">
        <f t="shared" si="21"/>
        <v>4</v>
      </c>
    </row>
    <row r="696" spans="1:7" x14ac:dyDescent="0.15">
      <c r="A696" t="str">
        <f>INDEX(最终表!$A:$Y,语言表!$F696+4,INDEX($F$2:$L$2,1,$G696+1))</f>
        <v>t_director_option2_1101111</v>
      </c>
      <c r="B696" t="str">
        <f>INDEX(最终表!$A:$Y,语言表!$F696+4,INDEX($F$1:$L$1,1,$G696+1))</f>
        <v/>
      </c>
      <c r="F696">
        <f t="shared" si="20"/>
        <v>56</v>
      </c>
      <c r="G696">
        <f t="shared" si="21"/>
        <v>4</v>
      </c>
    </row>
    <row r="697" spans="1:7" x14ac:dyDescent="0.15">
      <c r="A697" t="str">
        <f>INDEX(最终表!$A:$Y,语言表!$F697+4,INDEX($F$2:$L$2,1,$G697+1))</f>
        <v>t_director_option2_1101112</v>
      </c>
      <c r="B697" t="str">
        <f>INDEX(最终表!$A:$Y,语言表!$F697+4,INDEX($F$1:$L$1,1,$G697+1))</f>
        <v/>
      </c>
      <c r="F697">
        <f t="shared" si="20"/>
        <v>57</v>
      </c>
      <c r="G697">
        <f t="shared" si="21"/>
        <v>4</v>
      </c>
    </row>
    <row r="698" spans="1:7" x14ac:dyDescent="0.15">
      <c r="A698" t="str">
        <f>INDEX(最终表!$A:$Y,语言表!$F698+4,INDEX($F$2:$L$2,1,$G698+1))</f>
        <v>t_director_option2_1101150</v>
      </c>
      <c r="B698" t="str">
        <f>INDEX(最终表!$A:$Y,语言表!$F698+4,INDEX($F$1:$L$1,1,$G698+1))</f>
        <v/>
      </c>
      <c r="F698">
        <f t="shared" si="20"/>
        <v>58</v>
      </c>
      <c r="G698">
        <f t="shared" si="21"/>
        <v>4</v>
      </c>
    </row>
    <row r="699" spans="1:7" x14ac:dyDescent="0.15">
      <c r="A699" t="str">
        <f>INDEX(最终表!$A:$Y,语言表!$F699+4,INDEX($F$2:$L$2,1,$G699+1))</f>
        <v>t_director_option2_1101151</v>
      </c>
      <c r="B699" t="str">
        <f>INDEX(最终表!$A:$Y,语言表!$F699+4,INDEX($F$1:$L$1,1,$G699+1))</f>
        <v/>
      </c>
      <c r="F699">
        <f t="shared" si="20"/>
        <v>59</v>
      </c>
      <c r="G699">
        <f t="shared" si="21"/>
        <v>4</v>
      </c>
    </row>
    <row r="700" spans="1:7" x14ac:dyDescent="0.15">
      <c r="A700" t="str">
        <f>INDEX(最终表!$A:$Y,语言表!$F700+4,INDEX($F$2:$L$2,1,$G700+1))</f>
        <v>t_director_option2_1101152</v>
      </c>
      <c r="B700" t="str">
        <f>INDEX(最终表!$A:$Y,语言表!$F700+4,INDEX($F$1:$L$1,1,$G700+1))</f>
        <v/>
      </c>
      <c r="F700">
        <f t="shared" si="20"/>
        <v>60</v>
      </c>
      <c r="G700">
        <f t="shared" si="21"/>
        <v>4</v>
      </c>
    </row>
    <row r="701" spans="1:7" x14ac:dyDescent="0.15">
      <c r="A701" t="str">
        <f>INDEX(最终表!$A:$Y,语言表!$F701+4,INDEX($F$2:$L$2,1,$G701+1))</f>
        <v>t_director_option2_1101153</v>
      </c>
      <c r="B701" t="str">
        <f>INDEX(最终表!$A:$Y,语言表!$F701+4,INDEX($F$1:$L$1,1,$G701+1))</f>
        <v/>
      </c>
      <c r="F701">
        <f t="shared" si="20"/>
        <v>61</v>
      </c>
      <c r="G701">
        <f t="shared" si="21"/>
        <v>4</v>
      </c>
    </row>
    <row r="702" spans="1:7" x14ac:dyDescent="0.15">
      <c r="A702" t="str">
        <f>INDEX(最终表!$A:$Y,语言表!$F702+4,INDEX($F$2:$L$2,1,$G702+1))</f>
        <v>t_director_option2_1101154</v>
      </c>
      <c r="B702" t="str">
        <f>INDEX(最终表!$A:$Y,语言表!$F702+4,INDEX($F$1:$L$1,1,$G702+1))</f>
        <v/>
      </c>
      <c r="F702">
        <f t="shared" si="20"/>
        <v>62</v>
      </c>
      <c r="G702">
        <f t="shared" si="21"/>
        <v>4</v>
      </c>
    </row>
    <row r="703" spans="1:7" x14ac:dyDescent="0.15">
      <c r="A703" t="str">
        <f>INDEX(最终表!$A:$Y,语言表!$F703+4,INDEX($F$2:$L$2,1,$G703+1))</f>
        <v>t_director_option2_1101155</v>
      </c>
      <c r="B703" t="str">
        <f>INDEX(最终表!$A:$Y,语言表!$F703+4,INDEX($F$1:$L$1,1,$G703+1))</f>
        <v/>
      </c>
      <c r="F703">
        <f t="shared" si="20"/>
        <v>63</v>
      </c>
      <c r="G703">
        <f t="shared" si="21"/>
        <v>4</v>
      </c>
    </row>
    <row r="704" spans="1:7" x14ac:dyDescent="0.15">
      <c r="A704" t="str">
        <f>INDEX(最终表!$A:$Y,语言表!$F704+4,INDEX($F$2:$L$2,1,$G704+1))</f>
        <v>t_director_option2_1101200</v>
      </c>
      <c r="B704" t="str">
        <f>INDEX(最终表!$A:$Y,语言表!$F704+4,INDEX($F$1:$L$1,1,$G704+1))</f>
        <v/>
      </c>
      <c r="F704">
        <f t="shared" si="20"/>
        <v>64</v>
      </c>
      <c r="G704">
        <f t="shared" si="21"/>
        <v>4</v>
      </c>
    </row>
    <row r="705" spans="1:7" x14ac:dyDescent="0.15">
      <c r="A705" t="str">
        <f>INDEX(最终表!$A:$Y,语言表!$F705+4,INDEX($F$2:$L$2,1,$G705+1))</f>
        <v>t_director_option2_1101201</v>
      </c>
      <c r="B705" t="str">
        <f>INDEX(最终表!$A:$Y,语言表!$F705+4,INDEX($F$1:$L$1,1,$G705+1))</f>
        <v/>
      </c>
      <c r="F705">
        <f t="shared" si="20"/>
        <v>65</v>
      </c>
      <c r="G705">
        <f t="shared" si="21"/>
        <v>4</v>
      </c>
    </row>
    <row r="706" spans="1:7" x14ac:dyDescent="0.15">
      <c r="A706" t="str">
        <f>INDEX(最终表!$A:$Y,语言表!$F706+4,INDEX($F$2:$L$2,1,$G706+1))</f>
        <v>t_director_option2_1101202</v>
      </c>
      <c r="B706" t="str">
        <f>INDEX(最终表!$A:$Y,语言表!$F706+4,INDEX($F$1:$L$1,1,$G706+1))</f>
        <v/>
      </c>
      <c r="F706">
        <f t="shared" si="20"/>
        <v>66</v>
      </c>
      <c r="G706">
        <f t="shared" si="21"/>
        <v>4</v>
      </c>
    </row>
    <row r="707" spans="1:7" x14ac:dyDescent="0.15">
      <c r="A707" t="str">
        <f>INDEX(最终表!$A:$Y,语言表!$F707+4,INDEX($F$2:$L$2,1,$G707+1))</f>
        <v>t_director_option2_1101203</v>
      </c>
      <c r="B707" t="str">
        <f>INDEX(最终表!$A:$Y,语言表!$F707+4,INDEX($F$1:$L$1,1,$G707+1))</f>
        <v/>
      </c>
      <c r="F707">
        <f t="shared" si="20"/>
        <v>67</v>
      </c>
      <c r="G707">
        <f t="shared" si="21"/>
        <v>4</v>
      </c>
    </row>
    <row r="708" spans="1:7" x14ac:dyDescent="0.15">
      <c r="A708" t="str">
        <f>INDEX(最终表!$A:$Y,语言表!$F708+4,INDEX($F$2:$L$2,1,$G708+1))</f>
        <v>t_director_option2_1101204</v>
      </c>
      <c r="B708" t="str">
        <f>INDEX(最终表!$A:$Y,语言表!$F708+4,INDEX($F$1:$L$1,1,$G708+1))</f>
        <v/>
      </c>
      <c r="F708">
        <f t="shared" si="20"/>
        <v>68</v>
      </c>
      <c r="G708">
        <f t="shared" si="21"/>
        <v>4</v>
      </c>
    </row>
    <row r="709" spans="1:7" x14ac:dyDescent="0.15">
      <c r="A709" t="str">
        <f>INDEX(最终表!$A:$Y,语言表!$F709+4,INDEX($F$2:$L$2,1,$G709+1))</f>
        <v>t_director_option2_1101205</v>
      </c>
      <c r="B709" t="str">
        <f>INDEX(最终表!$A:$Y,语言表!$F709+4,INDEX($F$1:$L$1,1,$G709+1))</f>
        <v/>
      </c>
      <c r="F709">
        <f t="shared" ref="F709:F772" si="22">MOD(ROW()-4,$N$1-3)</f>
        <v>69</v>
      </c>
      <c r="G709">
        <f t="shared" ref="G709:G772" si="23">INT((ROW()-4)/($N$1-3))</f>
        <v>4</v>
      </c>
    </row>
    <row r="710" spans="1:7" x14ac:dyDescent="0.15">
      <c r="A710" t="str">
        <f>INDEX(最终表!$A:$Y,语言表!$F710+4,INDEX($F$2:$L$2,1,$G710+1))</f>
        <v>t_director_option2_1101206</v>
      </c>
      <c r="B710" t="str">
        <f>INDEX(最终表!$A:$Y,语言表!$F710+4,INDEX($F$1:$L$1,1,$G710+1))</f>
        <v/>
      </c>
      <c r="F710">
        <f t="shared" si="22"/>
        <v>70</v>
      </c>
      <c r="G710">
        <f t="shared" si="23"/>
        <v>4</v>
      </c>
    </row>
    <row r="711" spans="1:7" x14ac:dyDescent="0.15">
      <c r="A711" t="str">
        <f>INDEX(最终表!$A:$Y,语言表!$F711+4,INDEX($F$2:$L$2,1,$G711+1))</f>
        <v>t_director_option2_1101400</v>
      </c>
      <c r="B711" t="str">
        <f>INDEX(最终表!$A:$Y,语言表!$F711+4,INDEX($F$1:$L$1,1,$G711+1))</f>
        <v/>
      </c>
      <c r="F711">
        <f t="shared" si="22"/>
        <v>71</v>
      </c>
      <c r="G711">
        <f t="shared" si="23"/>
        <v>4</v>
      </c>
    </row>
    <row r="712" spans="1:7" x14ac:dyDescent="0.15">
      <c r="A712" t="str">
        <f>INDEX(最终表!$A:$Y,语言表!$F712+4,INDEX($F$2:$L$2,1,$G712+1))</f>
        <v>t_director_option2_1101401</v>
      </c>
      <c r="B712" t="str">
        <f>INDEX(最终表!$A:$Y,语言表!$F712+4,INDEX($F$1:$L$1,1,$G712+1))</f>
        <v/>
      </c>
      <c r="F712">
        <f t="shared" si="22"/>
        <v>72</v>
      </c>
      <c r="G712">
        <f t="shared" si="23"/>
        <v>4</v>
      </c>
    </row>
    <row r="713" spans="1:7" x14ac:dyDescent="0.15">
      <c r="A713" t="str">
        <f>INDEX(最终表!$A:$Y,语言表!$F713+4,INDEX($F$2:$L$2,1,$G713+1))</f>
        <v>t_director_option2_1101450</v>
      </c>
      <c r="B713" t="str">
        <f>INDEX(最终表!$A:$Y,语言表!$F713+4,INDEX($F$1:$L$1,1,$G713+1))</f>
        <v/>
      </c>
      <c r="F713">
        <f t="shared" si="22"/>
        <v>73</v>
      </c>
      <c r="G713">
        <f t="shared" si="23"/>
        <v>4</v>
      </c>
    </row>
    <row r="714" spans="1:7" x14ac:dyDescent="0.15">
      <c r="A714" t="str">
        <f>INDEX(最终表!$A:$Y,语言表!$F714+4,INDEX($F$2:$L$2,1,$G714+1))</f>
        <v>t_director_option2_1101451</v>
      </c>
      <c r="B714" t="str">
        <f>INDEX(最终表!$A:$Y,语言表!$F714+4,INDEX($F$1:$L$1,1,$G714+1))</f>
        <v/>
      </c>
      <c r="F714">
        <f t="shared" si="22"/>
        <v>74</v>
      </c>
      <c r="G714">
        <f t="shared" si="23"/>
        <v>4</v>
      </c>
    </row>
    <row r="715" spans="1:7" x14ac:dyDescent="0.15">
      <c r="A715" t="str">
        <f>INDEX(最终表!$A:$Y,语言表!$F715+4,INDEX($F$2:$L$2,1,$G715+1))</f>
        <v>t_director_option2_1101500</v>
      </c>
      <c r="B715" t="str">
        <f>INDEX(最终表!$A:$Y,语言表!$F715+4,INDEX($F$1:$L$1,1,$G715+1))</f>
        <v/>
      </c>
      <c r="F715">
        <f t="shared" si="22"/>
        <v>75</v>
      </c>
      <c r="G715">
        <f t="shared" si="23"/>
        <v>4</v>
      </c>
    </row>
    <row r="716" spans="1:7" x14ac:dyDescent="0.15">
      <c r="A716" t="str">
        <f>INDEX(最终表!$A:$Y,语言表!$F716+4,INDEX($F$2:$L$2,1,$G716+1))</f>
        <v>t_director_option2_1101501</v>
      </c>
      <c r="B716" t="str">
        <f>INDEX(最终表!$A:$Y,语言表!$F716+4,INDEX($F$1:$L$1,1,$G716+1))</f>
        <v/>
      </c>
      <c r="F716">
        <f t="shared" si="22"/>
        <v>76</v>
      </c>
      <c r="G716">
        <f t="shared" si="23"/>
        <v>4</v>
      </c>
    </row>
    <row r="717" spans="1:7" x14ac:dyDescent="0.15">
      <c r="A717" t="str">
        <f>INDEX(最终表!$A:$Y,语言表!$F717+4,INDEX($F$2:$L$2,1,$G717+1))</f>
        <v>t_director_option2_1101502</v>
      </c>
      <c r="B717" t="str">
        <f>INDEX(最终表!$A:$Y,语言表!$F717+4,INDEX($F$1:$L$1,1,$G717+1))</f>
        <v/>
      </c>
      <c r="F717">
        <f t="shared" si="22"/>
        <v>77</v>
      </c>
      <c r="G717">
        <f t="shared" si="23"/>
        <v>4</v>
      </c>
    </row>
    <row r="718" spans="1:7" x14ac:dyDescent="0.15">
      <c r="A718" t="str">
        <f>INDEX(最终表!$A:$Y,语言表!$F718+4,INDEX($F$2:$L$2,1,$G718+1))</f>
        <v>t_director_option2_1101600</v>
      </c>
      <c r="B718" t="str">
        <f>INDEX(最终表!$A:$Y,语言表!$F718+4,INDEX($F$1:$L$1,1,$G718+1))</f>
        <v/>
      </c>
      <c r="F718">
        <f t="shared" si="22"/>
        <v>78</v>
      </c>
      <c r="G718">
        <f t="shared" si="23"/>
        <v>4</v>
      </c>
    </row>
    <row r="719" spans="1:7" x14ac:dyDescent="0.15">
      <c r="A719" t="str">
        <f>INDEX(最终表!$A:$Y,语言表!$F719+4,INDEX($F$2:$L$2,1,$G719+1))</f>
        <v>t_director_option2_1101601</v>
      </c>
      <c r="B719" t="str">
        <f>INDEX(最终表!$A:$Y,语言表!$F719+4,INDEX($F$1:$L$1,1,$G719+1))</f>
        <v/>
      </c>
      <c r="F719">
        <f t="shared" si="22"/>
        <v>79</v>
      </c>
      <c r="G719">
        <f t="shared" si="23"/>
        <v>4</v>
      </c>
    </row>
    <row r="720" spans="1:7" x14ac:dyDescent="0.15">
      <c r="A720" t="str">
        <f>INDEX(最终表!$A:$Y,语言表!$F720+4,INDEX($F$2:$L$2,1,$G720+1))</f>
        <v>t_director_option2_1101700</v>
      </c>
      <c r="B720" t="str">
        <f>INDEX(最终表!$A:$Y,语言表!$F720+4,INDEX($F$1:$L$1,1,$G720+1))</f>
        <v/>
      </c>
      <c r="F720">
        <f t="shared" si="22"/>
        <v>80</v>
      </c>
      <c r="G720">
        <f t="shared" si="23"/>
        <v>4</v>
      </c>
    </row>
    <row r="721" spans="1:7" x14ac:dyDescent="0.15">
      <c r="A721" t="str">
        <f>INDEX(最终表!$A:$Y,语言表!$F721+4,INDEX($F$2:$L$2,1,$G721+1))</f>
        <v>t_director_option2_1101701</v>
      </c>
      <c r="B721" t="str">
        <f>INDEX(最终表!$A:$Y,语言表!$F721+4,INDEX($F$1:$L$1,1,$G721+1))</f>
        <v/>
      </c>
      <c r="F721">
        <f t="shared" si="22"/>
        <v>81</v>
      </c>
      <c r="G721">
        <f t="shared" si="23"/>
        <v>4</v>
      </c>
    </row>
    <row r="722" spans="1:7" x14ac:dyDescent="0.15">
      <c r="A722" t="str">
        <f>INDEX(最终表!$A:$Y,语言表!$F722+4,INDEX($F$2:$L$2,1,$G722+1))</f>
        <v>t_director_option2_1101750</v>
      </c>
      <c r="B722" t="str">
        <f>INDEX(最终表!$A:$Y,语言表!$F722+4,INDEX($F$1:$L$1,1,$G722+1))</f>
        <v/>
      </c>
      <c r="F722">
        <f t="shared" si="22"/>
        <v>82</v>
      </c>
      <c r="G722">
        <f t="shared" si="23"/>
        <v>4</v>
      </c>
    </row>
    <row r="723" spans="1:7" x14ac:dyDescent="0.15">
      <c r="A723" t="str">
        <f>INDEX(最终表!$A:$Y,语言表!$F723+4,INDEX($F$2:$L$2,1,$G723+1))</f>
        <v>t_director_option2_1101751</v>
      </c>
      <c r="B723" t="str">
        <f>INDEX(最终表!$A:$Y,语言表!$F723+4,INDEX($F$1:$L$1,1,$G723+1))</f>
        <v/>
      </c>
      <c r="F723">
        <f t="shared" si="22"/>
        <v>83</v>
      </c>
      <c r="G723">
        <f t="shared" si="23"/>
        <v>4</v>
      </c>
    </row>
    <row r="724" spans="1:7" x14ac:dyDescent="0.15">
      <c r="A724" t="str">
        <f>INDEX(最终表!$A:$Y,语言表!$F724+4,INDEX($F$2:$L$2,1,$G724+1))</f>
        <v>t_director_option2_1101800</v>
      </c>
      <c r="B724" t="str">
        <f>INDEX(最终表!$A:$Y,语言表!$F724+4,INDEX($F$1:$L$1,1,$G724+1))</f>
        <v/>
      </c>
      <c r="F724">
        <f t="shared" si="22"/>
        <v>84</v>
      </c>
      <c r="G724">
        <f t="shared" si="23"/>
        <v>4</v>
      </c>
    </row>
    <row r="725" spans="1:7" x14ac:dyDescent="0.15">
      <c r="A725" t="str">
        <f>INDEX(最终表!$A:$Y,语言表!$F725+4,INDEX($F$2:$L$2,1,$G725+1))</f>
        <v>t_director_option2_1101801</v>
      </c>
      <c r="B725" t="str">
        <f>INDEX(最终表!$A:$Y,语言表!$F725+4,INDEX($F$1:$L$1,1,$G725+1))</f>
        <v/>
      </c>
      <c r="F725">
        <f t="shared" si="22"/>
        <v>85</v>
      </c>
      <c r="G725">
        <f t="shared" si="23"/>
        <v>4</v>
      </c>
    </row>
    <row r="726" spans="1:7" x14ac:dyDescent="0.15">
      <c r="A726" t="str">
        <f>INDEX(最终表!$A:$Y,语言表!$F726+4,INDEX($F$2:$L$2,1,$G726+1))</f>
        <v>t_director_option2_1101900</v>
      </c>
      <c r="B726" t="str">
        <f>INDEX(最终表!$A:$Y,语言表!$F726+4,INDEX($F$1:$L$1,1,$G726+1))</f>
        <v/>
      </c>
      <c r="F726">
        <f t="shared" si="22"/>
        <v>86</v>
      </c>
      <c r="G726">
        <f t="shared" si="23"/>
        <v>4</v>
      </c>
    </row>
    <row r="727" spans="1:7" x14ac:dyDescent="0.15">
      <c r="A727" t="str">
        <f>INDEX(最终表!$A:$Y,语言表!$F727+4,INDEX($F$2:$L$2,1,$G727+1))</f>
        <v>t_director_option2_1101901</v>
      </c>
      <c r="B727" t="str">
        <f>INDEX(最终表!$A:$Y,语言表!$F727+4,INDEX($F$1:$L$1,1,$G727+1))</f>
        <v/>
      </c>
      <c r="F727">
        <f t="shared" si="22"/>
        <v>87</v>
      </c>
      <c r="G727">
        <f t="shared" si="23"/>
        <v>4</v>
      </c>
    </row>
    <row r="728" spans="1:7" x14ac:dyDescent="0.15">
      <c r="A728" t="str">
        <f>INDEX(最终表!$A:$Y,语言表!$F728+4,INDEX($F$2:$L$2,1,$G728+1))</f>
        <v>t_director_option2_1102000</v>
      </c>
      <c r="B728" t="str">
        <f>INDEX(最终表!$A:$Y,语言表!$F728+4,INDEX($F$1:$L$1,1,$G728+1))</f>
        <v/>
      </c>
      <c r="F728">
        <f t="shared" si="22"/>
        <v>88</v>
      </c>
      <c r="G728">
        <f t="shared" si="23"/>
        <v>4</v>
      </c>
    </row>
    <row r="729" spans="1:7" x14ac:dyDescent="0.15">
      <c r="A729" t="str">
        <f>INDEX(最终表!$A:$Y,语言表!$F729+4,INDEX($F$2:$L$2,1,$G729+1))</f>
        <v>t_director_option2_1102001</v>
      </c>
      <c r="B729" t="str">
        <f>INDEX(最终表!$A:$Y,语言表!$F729+4,INDEX($F$1:$L$1,1,$G729+1))</f>
        <v/>
      </c>
      <c r="F729">
        <f t="shared" si="22"/>
        <v>89</v>
      </c>
      <c r="G729">
        <f t="shared" si="23"/>
        <v>4</v>
      </c>
    </row>
    <row r="730" spans="1:7" x14ac:dyDescent="0.15">
      <c r="A730" t="str">
        <f>INDEX(最终表!$A:$Y,语言表!$F730+4,INDEX($F$2:$L$2,1,$G730+1))</f>
        <v>t_director_option2_1102002</v>
      </c>
      <c r="B730" t="str">
        <f>INDEX(最终表!$A:$Y,语言表!$F730+4,INDEX($F$1:$L$1,1,$G730+1))</f>
        <v/>
      </c>
      <c r="F730">
        <f t="shared" si="22"/>
        <v>90</v>
      </c>
      <c r="G730">
        <f t="shared" si="23"/>
        <v>4</v>
      </c>
    </row>
    <row r="731" spans="1:7" x14ac:dyDescent="0.15">
      <c r="A731" t="str">
        <f>INDEX(最终表!$A:$Y,语言表!$F731+4,INDEX($F$2:$L$2,1,$G731+1))</f>
        <v>t_director_option2_1102003</v>
      </c>
      <c r="B731" t="str">
        <f>INDEX(最终表!$A:$Y,语言表!$F731+4,INDEX($F$1:$L$1,1,$G731+1))</f>
        <v/>
      </c>
      <c r="F731">
        <f t="shared" si="22"/>
        <v>91</v>
      </c>
      <c r="G731">
        <f t="shared" si="23"/>
        <v>4</v>
      </c>
    </row>
    <row r="732" spans="1:7" x14ac:dyDescent="0.15">
      <c r="A732" t="str">
        <f>INDEX(最终表!$A:$Y,语言表!$F732+4,INDEX($F$2:$L$2,1,$G732+1))</f>
        <v>t_director_option2_1102050</v>
      </c>
      <c r="B732" t="str">
        <f>INDEX(最终表!$A:$Y,语言表!$F732+4,INDEX($F$1:$L$1,1,$G732+1))</f>
        <v/>
      </c>
      <c r="F732">
        <f t="shared" si="22"/>
        <v>92</v>
      </c>
      <c r="G732">
        <f t="shared" si="23"/>
        <v>4</v>
      </c>
    </row>
    <row r="733" spans="1:7" x14ac:dyDescent="0.15">
      <c r="A733" t="str">
        <f>INDEX(最终表!$A:$Y,语言表!$F733+4,INDEX($F$2:$L$2,1,$G733+1))</f>
        <v>t_director_option2_1102051</v>
      </c>
      <c r="B733" t="str">
        <f>INDEX(最终表!$A:$Y,语言表!$F733+4,INDEX($F$1:$L$1,1,$G733+1))</f>
        <v/>
      </c>
      <c r="F733">
        <f t="shared" si="22"/>
        <v>93</v>
      </c>
      <c r="G733">
        <f t="shared" si="23"/>
        <v>4</v>
      </c>
    </row>
    <row r="734" spans="1:7" x14ac:dyDescent="0.15">
      <c r="A734" t="str">
        <f>INDEX(最终表!$A:$Y,语言表!$F734+4,INDEX($F$2:$L$2,1,$G734+1))</f>
        <v>t_director_option2_1102100</v>
      </c>
      <c r="B734" t="str">
        <f>INDEX(最终表!$A:$Y,语言表!$F734+4,INDEX($F$1:$L$1,1,$G734+1))</f>
        <v/>
      </c>
      <c r="F734">
        <f t="shared" si="22"/>
        <v>94</v>
      </c>
      <c r="G734">
        <f t="shared" si="23"/>
        <v>4</v>
      </c>
    </row>
    <row r="735" spans="1:7" x14ac:dyDescent="0.15">
      <c r="A735" t="str">
        <f>INDEX(最终表!$A:$Y,语言表!$F735+4,INDEX($F$2:$L$2,1,$G735+1))</f>
        <v>t_director_option2_1102101</v>
      </c>
      <c r="B735" t="str">
        <f>INDEX(最终表!$A:$Y,语言表!$F735+4,INDEX($F$1:$L$1,1,$G735+1))</f>
        <v/>
      </c>
      <c r="F735">
        <f t="shared" si="22"/>
        <v>95</v>
      </c>
      <c r="G735">
        <f t="shared" si="23"/>
        <v>4</v>
      </c>
    </row>
    <row r="736" spans="1:7" x14ac:dyDescent="0.15">
      <c r="A736" t="str">
        <f>INDEX(最终表!$A:$Y,语言表!$F736+4,INDEX($F$2:$L$2,1,$G736+1))</f>
        <v>t_director_option2_1102102</v>
      </c>
      <c r="B736" t="str">
        <f>INDEX(最终表!$A:$Y,语言表!$F736+4,INDEX($F$1:$L$1,1,$G736+1))</f>
        <v/>
      </c>
      <c r="F736">
        <f t="shared" si="22"/>
        <v>96</v>
      </c>
      <c r="G736">
        <f t="shared" si="23"/>
        <v>4</v>
      </c>
    </row>
    <row r="737" spans="1:7" x14ac:dyDescent="0.15">
      <c r="A737" t="str">
        <f>INDEX(最终表!$A:$Y,语言表!$F737+4,INDEX($F$2:$L$2,1,$G737+1))</f>
        <v>t_director_option2_1102103</v>
      </c>
      <c r="B737" t="str">
        <f>INDEX(最终表!$A:$Y,语言表!$F737+4,INDEX($F$1:$L$1,1,$G737+1))</f>
        <v/>
      </c>
      <c r="F737">
        <f t="shared" si="22"/>
        <v>97</v>
      </c>
      <c r="G737">
        <f t="shared" si="23"/>
        <v>4</v>
      </c>
    </row>
    <row r="738" spans="1:7" x14ac:dyDescent="0.15">
      <c r="A738" t="str">
        <f>INDEX(最终表!$A:$Y,语言表!$F738+4,INDEX($F$2:$L$2,1,$G738+1))</f>
        <v>t_director_option2_1102104</v>
      </c>
      <c r="B738" t="str">
        <f>INDEX(最终表!$A:$Y,语言表!$F738+4,INDEX($F$1:$L$1,1,$G738+1))</f>
        <v/>
      </c>
      <c r="F738">
        <f t="shared" si="22"/>
        <v>98</v>
      </c>
      <c r="G738">
        <f t="shared" si="23"/>
        <v>4</v>
      </c>
    </row>
    <row r="739" spans="1:7" x14ac:dyDescent="0.15">
      <c r="A739" t="str">
        <f>INDEX(最终表!$A:$Y,语言表!$F739+4,INDEX($F$2:$L$2,1,$G739+1))</f>
        <v>t_director_option2_1102105</v>
      </c>
      <c r="B739" t="str">
        <f>INDEX(最终表!$A:$Y,语言表!$F739+4,INDEX($F$1:$L$1,1,$G739+1))</f>
        <v/>
      </c>
      <c r="F739">
        <f t="shared" si="22"/>
        <v>99</v>
      </c>
      <c r="G739">
        <f t="shared" si="23"/>
        <v>4</v>
      </c>
    </row>
    <row r="740" spans="1:7" x14ac:dyDescent="0.15">
      <c r="A740" t="str">
        <f>INDEX(最终表!$A:$Y,语言表!$F740+4,INDEX($F$2:$L$2,1,$G740+1))</f>
        <v>t_director_option2_1102106</v>
      </c>
      <c r="B740" t="str">
        <f>INDEX(最终表!$A:$Y,语言表!$F740+4,INDEX($F$1:$L$1,1,$G740+1))</f>
        <v/>
      </c>
      <c r="F740">
        <f t="shared" si="22"/>
        <v>100</v>
      </c>
      <c r="G740">
        <f t="shared" si="23"/>
        <v>4</v>
      </c>
    </row>
    <row r="741" spans="1:7" x14ac:dyDescent="0.15">
      <c r="A741" t="str">
        <f>INDEX(最终表!$A:$Y,语言表!$F741+4,INDEX($F$2:$L$2,1,$G741+1))</f>
        <v>t_director_option2_1102107</v>
      </c>
      <c r="B741" t="str">
        <f>INDEX(最终表!$A:$Y,语言表!$F741+4,INDEX($F$1:$L$1,1,$G741+1))</f>
        <v/>
      </c>
      <c r="F741">
        <f t="shared" si="22"/>
        <v>101</v>
      </c>
      <c r="G741">
        <f t="shared" si="23"/>
        <v>4</v>
      </c>
    </row>
    <row r="742" spans="1:7" x14ac:dyDescent="0.15">
      <c r="A742" t="str">
        <f>INDEX(最终表!$A:$Y,语言表!$F742+4,INDEX($F$2:$L$2,1,$G742+1))</f>
        <v>t_director_option2_1102200</v>
      </c>
      <c r="B742" t="str">
        <f>INDEX(最终表!$A:$Y,语言表!$F742+4,INDEX($F$1:$L$1,1,$G742+1))</f>
        <v/>
      </c>
      <c r="F742">
        <f t="shared" si="22"/>
        <v>102</v>
      </c>
      <c r="G742">
        <f t="shared" si="23"/>
        <v>4</v>
      </c>
    </row>
    <row r="743" spans="1:7" x14ac:dyDescent="0.15">
      <c r="A743" t="str">
        <f>INDEX(最终表!$A:$Y,语言表!$F743+4,INDEX($F$2:$L$2,1,$G743+1))</f>
        <v>t_director_option2_1102201</v>
      </c>
      <c r="B743" t="str">
        <f>INDEX(最终表!$A:$Y,语言表!$F743+4,INDEX($F$1:$L$1,1,$G743+1))</f>
        <v/>
      </c>
      <c r="F743">
        <f t="shared" si="22"/>
        <v>103</v>
      </c>
      <c r="G743">
        <f t="shared" si="23"/>
        <v>4</v>
      </c>
    </row>
    <row r="744" spans="1:7" x14ac:dyDescent="0.15">
      <c r="A744" t="str">
        <f>INDEX(最终表!$A:$Y,语言表!$F744+4,INDEX($F$2:$L$2,1,$G744+1))</f>
        <v>t_director_option2_1102300</v>
      </c>
      <c r="B744" t="str">
        <f>INDEX(最终表!$A:$Y,语言表!$F744+4,INDEX($F$1:$L$1,1,$G744+1))</f>
        <v/>
      </c>
      <c r="F744">
        <f t="shared" si="22"/>
        <v>104</v>
      </c>
      <c r="G744">
        <f t="shared" si="23"/>
        <v>4</v>
      </c>
    </row>
    <row r="745" spans="1:7" x14ac:dyDescent="0.15">
      <c r="A745" t="str">
        <f>INDEX(最终表!$A:$Y,语言表!$F745+4,INDEX($F$2:$L$2,1,$G745+1))</f>
        <v>t_director_option2_1102301</v>
      </c>
      <c r="B745" t="str">
        <f>INDEX(最终表!$A:$Y,语言表!$F745+4,INDEX($F$1:$L$1,1,$G745+1))</f>
        <v/>
      </c>
      <c r="F745">
        <f t="shared" si="22"/>
        <v>105</v>
      </c>
      <c r="G745">
        <f t="shared" si="23"/>
        <v>4</v>
      </c>
    </row>
    <row r="746" spans="1:7" x14ac:dyDescent="0.15">
      <c r="A746" t="str">
        <f>INDEX(最终表!$A:$Y,语言表!$F746+4,INDEX($F$2:$L$2,1,$G746+1))</f>
        <v>t_director_option2_1102302</v>
      </c>
      <c r="B746" t="str">
        <f>INDEX(最终表!$A:$Y,语言表!$F746+4,INDEX($F$1:$L$1,1,$G746+1))</f>
        <v/>
      </c>
      <c r="F746">
        <f t="shared" si="22"/>
        <v>106</v>
      </c>
      <c r="G746">
        <f t="shared" si="23"/>
        <v>4</v>
      </c>
    </row>
    <row r="747" spans="1:7" x14ac:dyDescent="0.15">
      <c r="A747" t="str">
        <f>INDEX(最终表!$A:$Y,语言表!$F747+4,INDEX($F$2:$L$2,1,$G747+1))</f>
        <v>t_director_option2_1102310</v>
      </c>
      <c r="B747" t="str">
        <f>INDEX(最终表!$A:$Y,语言表!$F747+4,INDEX($F$1:$L$1,1,$G747+1))</f>
        <v/>
      </c>
      <c r="F747">
        <f t="shared" si="22"/>
        <v>107</v>
      </c>
      <c r="G747">
        <f t="shared" si="23"/>
        <v>4</v>
      </c>
    </row>
    <row r="748" spans="1:7" x14ac:dyDescent="0.15">
      <c r="A748" t="str">
        <f>INDEX(最终表!$A:$Y,语言表!$F748+4,INDEX($F$2:$L$2,1,$G748+1))</f>
        <v>t_director_option2_1102311</v>
      </c>
      <c r="B748" t="str">
        <f>INDEX(最终表!$A:$Y,语言表!$F748+4,INDEX($F$1:$L$1,1,$G748+1))</f>
        <v/>
      </c>
      <c r="F748">
        <f t="shared" si="22"/>
        <v>108</v>
      </c>
      <c r="G748">
        <f t="shared" si="23"/>
        <v>4</v>
      </c>
    </row>
    <row r="749" spans="1:7" x14ac:dyDescent="0.15">
      <c r="A749" t="str">
        <f>INDEX(最终表!$A:$Y,语言表!$F749+4,INDEX($F$2:$L$2,1,$G749+1))</f>
        <v>t_director_option2_1102312</v>
      </c>
      <c r="B749" t="str">
        <f>INDEX(最终表!$A:$Y,语言表!$F749+4,INDEX($F$1:$L$1,1,$G749+1))</f>
        <v/>
      </c>
      <c r="F749">
        <f t="shared" si="22"/>
        <v>109</v>
      </c>
      <c r="G749">
        <f t="shared" si="23"/>
        <v>4</v>
      </c>
    </row>
    <row r="750" spans="1:7" x14ac:dyDescent="0.15">
      <c r="A750" t="str">
        <f>INDEX(最终表!$A:$Y,语言表!$F750+4,INDEX($F$2:$L$2,1,$G750+1))</f>
        <v>t_director_option2_1102350</v>
      </c>
      <c r="B750" t="str">
        <f>INDEX(最终表!$A:$Y,语言表!$F750+4,INDEX($F$1:$L$1,1,$G750+1))</f>
        <v/>
      </c>
      <c r="F750">
        <f t="shared" si="22"/>
        <v>110</v>
      </c>
      <c r="G750">
        <f t="shared" si="23"/>
        <v>4</v>
      </c>
    </row>
    <row r="751" spans="1:7" x14ac:dyDescent="0.15">
      <c r="A751" t="str">
        <f>INDEX(最终表!$A:$Y,语言表!$F751+4,INDEX($F$2:$L$2,1,$G751+1))</f>
        <v>t_director_option2_1102351</v>
      </c>
      <c r="B751" t="str">
        <f>INDEX(最终表!$A:$Y,语言表!$F751+4,INDEX($F$1:$L$1,1,$G751+1))</f>
        <v/>
      </c>
      <c r="F751">
        <f t="shared" si="22"/>
        <v>111</v>
      </c>
      <c r="G751">
        <f t="shared" si="23"/>
        <v>4</v>
      </c>
    </row>
    <row r="752" spans="1:7" x14ac:dyDescent="0.15">
      <c r="A752" t="str">
        <f>INDEX(最终表!$A:$Y,语言表!$F752+4,INDEX($F$2:$L$2,1,$G752+1))</f>
        <v>t_director_option2_1102352</v>
      </c>
      <c r="B752" t="str">
        <f>INDEX(最终表!$A:$Y,语言表!$F752+4,INDEX($F$1:$L$1,1,$G752+1))</f>
        <v/>
      </c>
      <c r="F752">
        <f t="shared" si="22"/>
        <v>112</v>
      </c>
      <c r="G752">
        <f t="shared" si="23"/>
        <v>4</v>
      </c>
    </row>
    <row r="753" spans="1:7" x14ac:dyDescent="0.15">
      <c r="A753" t="str">
        <f>INDEX(最终表!$A:$Y,语言表!$F753+4,INDEX($F$2:$L$2,1,$G753+1))</f>
        <v>t_director_option2_1102400</v>
      </c>
      <c r="B753" t="str">
        <f>INDEX(最终表!$A:$Y,语言表!$F753+4,INDEX($F$1:$L$1,1,$G753+1))</f>
        <v/>
      </c>
      <c r="F753">
        <f t="shared" si="22"/>
        <v>113</v>
      </c>
      <c r="G753">
        <f t="shared" si="23"/>
        <v>4</v>
      </c>
    </row>
    <row r="754" spans="1:7" x14ac:dyDescent="0.15">
      <c r="A754" t="str">
        <f>INDEX(最终表!$A:$Y,语言表!$F754+4,INDEX($F$2:$L$2,1,$G754+1))</f>
        <v>t_director_option2_1102401</v>
      </c>
      <c r="B754" t="str">
        <f>INDEX(最终表!$A:$Y,语言表!$F754+4,INDEX($F$1:$L$1,1,$G754+1))</f>
        <v/>
      </c>
      <c r="F754">
        <f t="shared" si="22"/>
        <v>114</v>
      </c>
      <c r="G754">
        <f t="shared" si="23"/>
        <v>4</v>
      </c>
    </row>
    <row r="755" spans="1:7" x14ac:dyDescent="0.15">
      <c r="A755" t="str">
        <f>INDEX(最终表!$A:$Y,语言表!$F755+4,INDEX($F$2:$L$2,1,$G755+1))</f>
        <v>t_director_option2_1102410</v>
      </c>
      <c r="B755" t="str">
        <f>INDEX(最终表!$A:$Y,语言表!$F755+4,INDEX($F$1:$L$1,1,$G755+1))</f>
        <v/>
      </c>
      <c r="F755">
        <f t="shared" si="22"/>
        <v>115</v>
      </c>
      <c r="G755">
        <f t="shared" si="23"/>
        <v>4</v>
      </c>
    </row>
    <row r="756" spans="1:7" x14ac:dyDescent="0.15">
      <c r="A756" t="str">
        <f>INDEX(最终表!$A:$Y,语言表!$F756+4,INDEX($F$2:$L$2,1,$G756+1))</f>
        <v>t_director_option2_1102411</v>
      </c>
      <c r="B756" t="str">
        <f>INDEX(最终表!$A:$Y,语言表!$F756+4,INDEX($F$1:$L$1,1,$G756+1))</f>
        <v/>
      </c>
      <c r="F756">
        <f t="shared" si="22"/>
        <v>116</v>
      </c>
      <c r="G756">
        <f t="shared" si="23"/>
        <v>4</v>
      </c>
    </row>
    <row r="757" spans="1:7" x14ac:dyDescent="0.15">
      <c r="A757" t="str">
        <f>INDEX(最终表!$A:$Y,语言表!$F757+4,INDEX($F$2:$L$2,1,$G757+1))</f>
        <v>t_director_option2_1102450</v>
      </c>
      <c r="B757" t="str">
        <f>INDEX(最终表!$A:$Y,语言表!$F757+4,INDEX($F$1:$L$1,1,$G757+1))</f>
        <v/>
      </c>
      <c r="F757">
        <f t="shared" si="22"/>
        <v>117</v>
      </c>
      <c r="G757">
        <f t="shared" si="23"/>
        <v>4</v>
      </c>
    </row>
    <row r="758" spans="1:7" x14ac:dyDescent="0.15">
      <c r="A758" t="str">
        <f>INDEX(最终表!$A:$Y,语言表!$F758+4,INDEX($F$2:$L$2,1,$G758+1))</f>
        <v>t_director_option2_1102451</v>
      </c>
      <c r="B758" t="str">
        <f>INDEX(最终表!$A:$Y,语言表!$F758+4,INDEX($F$1:$L$1,1,$G758+1))</f>
        <v/>
      </c>
      <c r="F758">
        <f t="shared" si="22"/>
        <v>118</v>
      </c>
      <c r="G758">
        <f t="shared" si="23"/>
        <v>4</v>
      </c>
    </row>
    <row r="759" spans="1:7" x14ac:dyDescent="0.15">
      <c r="A759" t="str">
        <f>INDEX(最终表!$A:$Y,语言表!$F759+4,INDEX($F$2:$L$2,1,$G759+1))</f>
        <v>t_director_option2_1102480</v>
      </c>
      <c r="B759" t="str">
        <f>INDEX(最终表!$A:$Y,语言表!$F759+4,INDEX($F$1:$L$1,1,$G759+1))</f>
        <v/>
      </c>
      <c r="F759">
        <f t="shared" si="22"/>
        <v>119</v>
      </c>
      <c r="G759">
        <f t="shared" si="23"/>
        <v>4</v>
      </c>
    </row>
    <row r="760" spans="1:7" x14ac:dyDescent="0.15">
      <c r="A760" t="str">
        <f>INDEX(最终表!$A:$Y,语言表!$F760+4,INDEX($F$2:$L$2,1,$G760+1))</f>
        <v>t_director_option2_1102481</v>
      </c>
      <c r="B760" t="str">
        <f>INDEX(最终表!$A:$Y,语言表!$F760+4,INDEX($F$1:$L$1,1,$G760+1))</f>
        <v/>
      </c>
      <c r="F760">
        <f t="shared" si="22"/>
        <v>120</v>
      </c>
      <c r="G760">
        <f t="shared" si="23"/>
        <v>4</v>
      </c>
    </row>
    <row r="761" spans="1:7" x14ac:dyDescent="0.15">
      <c r="A761" t="str">
        <f>INDEX(最终表!$A:$Y,语言表!$F761+4,INDEX($F$2:$L$2,1,$G761+1))</f>
        <v>t_director_option2_1102482</v>
      </c>
      <c r="B761" t="str">
        <f>INDEX(最终表!$A:$Y,语言表!$F761+4,INDEX($F$1:$L$1,1,$G761+1))</f>
        <v/>
      </c>
      <c r="F761">
        <f t="shared" si="22"/>
        <v>121</v>
      </c>
      <c r="G761">
        <f t="shared" si="23"/>
        <v>4</v>
      </c>
    </row>
    <row r="762" spans="1:7" x14ac:dyDescent="0.15">
      <c r="A762" t="str">
        <f>INDEX(最终表!$A:$Y,语言表!$F762+4,INDEX($F$2:$L$2,1,$G762+1))</f>
        <v>t_director_option2_1102483</v>
      </c>
      <c r="B762" t="str">
        <f>INDEX(最终表!$A:$Y,语言表!$F762+4,INDEX($F$1:$L$1,1,$G762+1))</f>
        <v/>
      </c>
      <c r="F762">
        <f t="shared" si="22"/>
        <v>122</v>
      </c>
      <c r="G762">
        <f t="shared" si="23"/>
        <v>4</v>
      </c>
    </row>
    <row r="763" spans="1:7" x14ac:dyDescent="0.15">
      <c r="A763" t="str">
        <f>INDEX(最终表!$A:$Y,语言表!$F763+4,INDEX($F$2:$L$2,1,$G763+1))</f>
        <v>t_director_option2_1102484</v>
      </c>
      <c r="B763" t="str">
        <f>INDEX(最终表!$A:$Y,语言表!$F763+4,INDEX($F$1:$L$1,1,$G763+1))</f>
        <v/>
      </c>
      <c r="F763">
        <f t="shared" si="22"/>
        <v>123</v>
      </c>
      <c r="G763">
        <f t="shared" si="23"/>
        <v>4</v>
      </c>
    </row>
    <row r="764" spans="1:7" x14ac:dyDescent="0.15">
      <c r="A764" t="str">
        <f>INDEX(最终表!$A:$Y,语言表!$F764+4,INDEX($F$2:$L$2,1,$G764+1))</f>
        <v>t_director_option2_1102500</v>
      </c>
      <c r="B764" t="str">
        <f>INDEX(最终表!$A:$Y,语言表!$F764+4,INDEX($F$1:$L$1,1,$G764+1))</f>
        <v/>
      </c>
      <c r="F764">
        <f t="shared" si="22"/>
        <v>124</v>
      </c>
      <c r="G764">
        <f t="shared" si="23"/>
        <v>4</v>
      </c>
    </row>
    <row r="765" spans="1:7" x14ac:dyDescent="0.15">
      <c r="A765" t="str">
        <f>INDEX(最终表!$A:$Y,语言表!$F765+4,INDEX($F$2:$L$2,1,$G765+1))</f>
        <v>t_director_option2_1102501</v>
      </c>
      <c r="B765" t="str">
        <f>INDEX(最终表!$A:$Y,语言表!$F765+4,INDEX($F$1:$L$1,1,$G765+1))</f>
        <v/>
      </c>
      <c r="F765">
        <f t="shared" si="22"/>
        <v>125</v>
      </c>
      <c r="G765">
        <f t="shared" si="23"/>
        <v>4</v>
      </c>
    </row>
    <row r="766" spans="1:7" x14ac:dyDescent="0.15">
      <c r="A766" t="str">
        <f>INDEX(最终表!$A:$Y,语言表!$F766+4,INDEX($F$2:$L$2,1,$G766+1))</f>
        <v>t_director_option2_1102600</v>
      </c>
      <c r="B766" t="str">
        <f>INDEX(最终表!$A:$Y,语言表!$F766+4,INDEX($F$1:$L$1,1,$G766+1))</f>
        <v/>
      </c>
      <c r="F766">
        <f t="shared" si="22"/>
        <v>126</v>
      </c>
      <c r="G766">
        <f t="shared" si="23"/>
        <v>4</v>
      </c>
    </row>
    <row r="767" spans="1:7" x14ac:dyDescent="0.15">
      <c r="A767" t="str">
        <f>INDEX(最终表!$A:$Y,语言表!$F767+4,INDEX($F$2:$L$2,1,$G767+1))</f>
        <v>t_director_option2_1102650</v>
      </c>
      <c r="B767" t="str">
        <f>INDEX(最终表!$A:$Y,语言表!$F767+4,INDEX($F$1:$L$1,1,$G767+1))</f>
        <v/>
      </c>
      <c r="F767">
        <f t="shared" si="22"/>
        <v>127</v>
      </c>
      <c r="G767">
        <f t="shared" si="23"/>
        <v>4</v>
      </c>
    </row>
    <row r="768" spans="1:7" x14ac:dyDescent="0.15">
      <c r="A768" t="str">
        <f>INDEX(最终表!$A:$Y,语言表!$F768+4,INDEX($F$2:$L$2,1,$G768+1))</f>
        <v>t_director_option2_1102651</v>
      </c>
      <c r="B768" t="str">
        <f>INDEX(最终表!$A:$Y,语言表!$F768+4,INDEX($F$1:$L$1,1,$G768+1))</f>
        <v/>
      </c>
      <c r="F768">
        <f t="shared" si="22"/>
        <v>128</v>
      </c>
      <c r="G768">
        <f t="shared" si="23"/>
        <v>4</v>
      </c>
    </row>
    <row r="769" spans="1:7" x14ac:dyDescent="0.15">
      <c r="A769" t="str">
        <f>INDEX(最终表!$A:$Y,语言表!$F769+4,INDEX($F$2:$L$2,1,$G769+1))</f>
        <v>t_director_option2_1102652</v>
      </c>
      <c r="B769" t="str">
        <f>INDEX(最终表!$A:$Y,语言表!$F769+4,INDEX($F$1:$L$1,1,$G769+1))</f>
        <v/>
      </c>
      <c r="F769">
        <f t="shared" si="22"/>
        <v>129</v>
      </c>
      <c r="G769">
        <f t="shared" si="23"/>
        <v>4</v>
      </c>
    </row>
    <row r="770" spans="1:7" x14ac:dyDescent="0.15">
      <c r="A770" t="str">
        <f>INDEX(最终表!$A:$Y,语言表!$F770+4,INDEX($F$2:$L$2,1,$G770+1))</f>
        <v>t_director_option2_1102700</v>
      </c>
      <c r="B770" t="str">
        <f>INDEX(最终表!$A:$Y,语言表!$F770+4,INDEX($F$1:$L$1,1,$G770+1))</f>
        <v/>
      </c>
      <c r="F770">
        <f t="shared" si="22"/>
        <v>130</v>
      </c>
      <c r="G770">
        <f t="shared" si="23"/>
        <v>4</v>
      </c>
    </row>
    <row r="771" spans="1:7" x14ac:dyDescent="0.15">
      <c r="A771" t="str">
        <f>INDEX(最终表!$A:$Y,语言表!$F771+4,INDEX($F$2:$L$2,1,$G771+1))</f>
        <v>t_director_option2_1102701</v>
      </c>
      <c r="B771" t="str">
        <f>INDEX(最终表!$A:$Y,语言表!$F771+4,INDEX($F$1:$L$1,1,$G771+1))</f>
        <v/>
      </c>
      <c r="F771">
        <f t="shared" si="22"/>
        <v>131</v>
      </c>
      <c r="G771">
        <f t="shared" si="23"/>
        <v>4</v>
      </c>
    </row>
    <row r="772" spans="1:7" x14ac:dyDescent="0.15">
      <c r="A772" t="str">
        <f>INDEX(最终表!$A:$Y,语言表!$F772+4,INDEX($F$2:$L$2,1,$G772+1))</f>
        <v>t_director_option2_1102800</v>
      </c>
      <c r="B772" t="str">
        <f>INDEX(最终表!$A:$Y,语言表!$F772+4,INDEX($F$1:$L$1,1,$G772+1))</f>
        <v/>
      </c>
      <c r="F772">
        <f t="shared" si="22"/>
        <v>132</v>
      </c>
      <c r="G772">
        <f t="shared" si="23"/>
        <v>4</v>
      </c>
    </row>
    <row r="773" spans="1:7" x14ac:dyDescent="0.15">
      <c r="A773" t="str">
        <f>INDEX(最终表!$A:$Y,语言表!$F773+4,INDEX($F$2:$L$2,1,$G773+1))</f>
        <v>t_director_option2_1102801</v>
      </c>
      <c r="B773" t="str">
        <f>INDEX(最终表!$A:$Y,语言表!$F773+4,INDEX($F$1:$L$1,1,$G773+1))</f>
        <v/>
      </c>
      <c r="F773">
        <f t="shared" ref="F773:F836" si="24">MOD(ROW()-4,$N$1-3)</f>
        <v>133</v>
      </c>
      <c r="G773">
        <f t="shared" ref="G773:G836" si="25">INT((ROW()-4)/($N$1-3))</f>
        <v>4</v>
      </c>
    </row>
    <row r="774" spans="1:7" x14ac:dyDescent="0.15">
      <c r="A774" t="str">
        <f>INDEX(最终表!$A:$Y,语言表!$F774+4,INDEX($F$2:$L$2,1,$G774+1))</f>
        <v>t_director_option2_1102802</v>
      </c>
      <c r="B774" t="str">
        <f>INDEX(最终表!$A:$Y,语言表!$F774+4,INDEX($F$1:$L$1,1,$G774+1))</f>
        <v/>
      </c>
      <c r="F774">
        <f t="shared" si="24"/>
        <v>134</v>
      </c>
      <c r="G774">
        <f t="shared" si="25"/>
        <v>4</v>
      </c>
    </row>
    <row r="775" spans="1:7" x14ac:dyDescent="0.15">
      <c r="A775" t="str">
        <f>INDEX(最终表!$A:$Y,语言表!$F775+4,INDEX($F$2:$L$2,1,$G775+1))</f>
        <v>t_director_option2_1102803</v>
      </c>
      <c r="B775" t="str">
        <f>INDEX(最终表!$A:$Y,语言表!$F775+4,INDEX($F$1:$L$1,1,$G775+1))</f>
        <v/>
      </c>
      <c r="F775">
        <f t="shared" si="24"/>
        <v>135</v>
      </c>
      <c r="G775">
        <f t="shared" si="25"/>
        <v>4</v>
      </c>
    </row>
    <row r="776" spans="1:7" x14ac:dyDescent="0.15">
      <c r="A776" t="str">
        <f>INDEX(最终表!$A:$Y,语言表!$F776+4,INDEX($F$2:$L$2,1,$G776+1))</f>
        <v>t_director_option2_1102804</v>
      </c>
      <c r="B776" t="str">
        <f>INDEX(最终表!$A:$Y,语言表!$F776+4,INDEX($F$1:$L$1,1,$G776+1))</f>
        <v/>
      </c>
      <c r="F776">
        <f t="shared" si="24"/>
        <v>136</v>
      </c>
      <c r="G776">
        <f t="shared" si="25"/>
        <v>4</v>
      </c>
    </row>
    <row r="777" spans="1:7" x14ac:dyDescent="0.15">
      <c r="A777" t="str">
        <f>INDEX(最终表!$A:$Y,语言表!$F777+4,INDEX($F$2:$L$2,1,$G777+1))</f>
        <v>t_director_option2_1102805</v>
      </c>
      <c r="B777" t="str">
        <f>INDEX(最终表!$A:$Y,语言表!$F777+4,INDEX($F$1:$L$1,1,$G777+1))</f>
        <v/>
      </c>
      <c r="F777">
        <f t="shared" si="24"/>
        <v>137</v>
      </c>
      <c r="G777">
        <f t="shared" si="25"/>
        <v>4</v>
      </c>
    </row>
    <row r="778" spans="1:7" x14ac:dyDescent="0.15">
      <c r="A778" t="str">
        <f>INDEX(最终表!$A:$Y,语言表!$F778+4,INDEX($F$2:$L$2,1,$G778+1))</f>
        <v>t_director_option2_1102900</v>
      </c>
      <c r="B778" t="str">
        <f>INDEX(最终表!$A:$Y,语言表!$F778+4,INDEX($F$1:$L$1,1,$G778+1))</f>
        <v/>
      </c>
      <c r="F778">
        <f t="shared" si="24"/>
        <v>138</v>
      </c>
      <c r="G778">
        <f t="shared" si="25"/>
        <v>4</v>
      </c>
    </row>
    <row r="779" spans="1:7" x14ac:dyDescent="0.15">
      <c r="A779" t="str">
        <f>INDEX(最终表!$A:$Y,语言表!$F779+4,INDEX($F$2:$L$2,1,$G779+1))</f>
        <v>t_director_option2_1102901</v>
      </c>
      <c r="B779" t="str">
        <f>INDEX(最终表!$A:$Y,语言表!$F779+4,INDEX($F$1:$L$1,1,$G779+1))</f>
        <v/>
      </c>
      <c r="F779">
        <f t="shared" si="24"/>
        <v>139</v>
      </c>
      <c r="G779">
        <f t="shared" si="25"/>
        <v>4</v>
      </c>
    </row>
    <row r="780" spans="1:7" x14ac:dyDescent="0.15">
      <c r="A780" t="str">
        <f>INDEX(最终表!$A:$Y,语言表!$F780+4,INDEX($F$2:$L$2,1,$G780+1))</f>
        <v>t_director_option2_1103000</v>
      </c>
      <c r="B780" t="str">
        <f>INDEX(最终表!$A:$Y,语言表!$F780+4,INDEX($F$1:$L$1,1,$G780+1))</f>
        <v/>
      </c>
      <c r="F780">
        <f t="shared" si="24"/>
        <v>140</v>
      </c>
      <c r="G780">
        <f t="shared" si="25"/>
        <v>4</v>
      </c>
    </row>
    <row r="781" spans="1:7" x14ac:dyDescent="0.15">
      <c r="A781" t="str">
        <f>INDEX(最终表!$A:$Y,语言表!$F781+4,INDEX($F$2:$L$2,1,$G781+1))</f>
        <v>t_director_option2_1103001</v>
      </c>
      <c r="B781" t="str">
        <f>INDEX(最终表!$A:$Y,语言表!$F781+4,INDEX($F$1:$L$1,1,$G781+1))</f>
        <v/>
      </c>
      <c r="F781">
        <f t="shared" si="24"/>
        <v>141</v>
      </c>
      <c r="G781">
        <f t="shared" si="25"/>
        <v>4</v>
      </c>
    </row>
    <row r="782" spans="1:7" x14ac:dyDescent="0.15">
      <c r="A782" t="str">
        <f>INDEX(最终表!$A:$Y,语言表!$F782+4,INDEX($F$2:$L$2,1,$G782+1))</f>
        <v>t_director_option2_1103002</v>
      </c>
      <c r="B782" t="str">
        <f>INDEX(最终表!$A:$Y,语言表!$F782+4,INDEX($F$1:$L$1,1,$G782+1))</f>
        <v/>
      </c>
      <c r="F782">
        <f t="shared" si="24"/>
        <v>142</v>
      </c>
      <c r="G782">
        <f t="shared" si="25"/>
        <v>4</v>
      </c>
    </row>
    <row r="783" spans="1:7" x14ac:dyDescent="0.15">
      <c r="A783" t="str">
        <f>INDEX(最终表!$A:$Y,语言表!$F783+4,INDEX($F$2:$L$2,1,$G783+1))</f>
        <v>t_director_option2_1103003</v>
      </c>
      <c r="B783" t="str">
        <f>INDEX(最终表!$A:$Y,语言表!$F783+4,INDEX($F$1:$L$1,1,$G783+1))</f>
        <v/>
      </c>
      <c r="F783">
        <f t="shared" si="24"/>
        <v>143</v>
      </c>
      <c r="G783">
        <f t="shared" si="25"/>
        <v>4</v>
      </c>
    </row>
    <row r="784" spans="1:7" x14ac:dyDescent="0.15">
      <c r="A784" t="str">
        <f>INDEX(最终表!$A:$Y,语言表!$F784+4,INDEX($F$2:$L$2,1,$G784+1))</f>
        <v>t_director_option2_1103100</v>
      </c>
      <c r="B784" t="str">
        <f>INDEX(最终表!$A:$Y,语言表!$F784+4,INDEX($F$1:$L$1,1,$G784+1))</f>
        <v/>
      </c>
      <c r="F784">
        <f t="shared" si="24"/>
        <v>144</v>
      </c>
      <c r="G784">
        <f t="shared" si="25"/>
        <v>4</v>
      </c>
    </row>
    <row r="785" spans="1:7" x14ac:dyDescent="0.15">
      <c r="A785" t="str">
        <f>INDEX(最终表!$A:$Y,语言表!$F785+4,INDEX($F$2:$L$2,1,$G785+1))</f>
        <v>t_director_option2_1103101</v>
      </c>
      <c r="B785" t="str">
        <f>INDEX(最终表!$A:$Y,语言表!$F785+4,INDEX($F$1:$L$1,1,$G785+1))</f>
        <v/>
      </c>
      <c r="F785">
        <f t="shared" si="24"/>
        <v>145</v>
      </c>
      <c r="G785">
        <f t="shared" si="25"/>
        <v>4</v>
      </c>
    </row>
    <row r="786" spans="1:7" x14ac:dyDescent="0.15">
      <c r="A786" t="str">
        <f>INDEX(最终表!$A:$Y,语言表!$F786+4,INDEX($F$2:$L$2,1,$G786+1))</f>
        <v>t_director_option2_1103200</v>
      </c>
      <c r="B786" t="str">
        <f>INDEX(最终表!$A:$Y,语言表!$F786+4,INDEX($F$1:$L$1,1,$G786+1))</f>
        <v/>
      </c>
      <c r="F786">
        <f t="shared" si="24"/>
        <v>146</v>
      </c>
      <c r="G786">
        <f t="shared" si="25"/>
        <v>4</v>
      </c>
    </row>
    <row r="787" spans="1:7" x14ac:dyDescent="0.15">
      <c r="A787" t="str">
        <f>INDEX(最终表!$A:$Y,语言表!$F787+4,INDEX($F$2:$L$2,1,$G787+1))</f>
        <v>t_director_option2_1103201</v>
      </c>
      <c r="B787" t="str">
        <f>INDEX(最终表!$A:$Y,语言表!$F787+4,INDEX($F$1:$L$1,1,$G787+1))</f>
        <v/>
      </c>
      <c r="F787">
        <f t="shared" si="24"/>
        <v>147</v>
      </c>
      <c r="G787">
        <f t="shared" si="25"/>
        <v>4</v>
      </c>
    </row>
    <row r="788" spans="1:7" x14ac:dyDescent="0.15">
      <c r="A788" t="str">
        <f>INDEX(最终表!$A:$Y,语言表!$F788+4,INDEX($F$2:$L$2,1,$G788+1))</f>
        <v>t_director_option2_1200100</v>
      </c>
      <c r="B788" t="str">
        <f>INDEX(最终表!$A:$Y,语言表!$F788+4,INDEX($F$1:$L$1,1,$G788+1))</f>
        <v/>
      </c>
      <c r="F788">
        <f t="shared" si="24"/>
        <v>148</v>
      </c>
      <c r="G788">
        <f t="shared" si="25"/>
        <v>4</v>
      </c>
    </row>
    <row r="789" spans="1:7" x14ac:dyDescent="0.15">
      <c r="A789" t="str">
        <f>INDEX(最终表!$A:$Y,语言表!$F789+4,INDEX($F$2:$L$2,1,$G789+1))</f>
        <v>t_director_option2_1200200</v>
      </c>
      <c r="B789" t="str">
        <f>INDEX(最终表!$A:$Y,语言表!$F789+4,INDEX($F$1:$L$1,1,$G789+1))</f>
        <v/>
      </c>
      <c r="F789">
        <f t="shared" si="24"/>
        <v>149</v>
      </c>
      <c r="G789">
        <f t="shared" si="25"/>
        <v>4</v>
      </c>
    </row>
    <row r="790" spans="1:7" x14ac:dyDescent="0.15">
      <c r="A790" t="str">
        <f>INDEX(最终表!$A:$Y,语言表!$F790+4,INDEX($F$2:$L$2,1,$G790+1))</f>
        <v>t_director_option2_1200300</v>
      </c>
      <c r="B790" t="str">
        <f>INDEX(最终表!$A:$Y,语言表!$F790+4,INDEX($F$1:$L$1,1,$G790+1))</f>
        <v/>
      </c>
      <c r="F790">
        <f t="shared" si="24"/>
        <v>150</v>
      </c>
      <c r="G790">
        <f t="shared" si="25"/>
        <v>4</v>
      </c>
    </row>
    <row r="791" spans="1:7" x14ac:dyDescent="0.15">
      <c r="A791" t="str">
        <f>INDEX(最终表!$A:$Y,语言表!$F791+4,INDEX($F$2:$L$2,1,$G791+1))</f>
        <v>t_director_option2_1200400</v>
      </c>
      <c r="B791" t="str">
        <f>INDEX(最终表!$A:$Y,语言表!$F791+4,INDEX($F$1:$L$1,1,$G791+1))</f>
        <v/>
      </c>
      <c r="F791">
        <f t="shared" si="24"/>
        <v>151</v>
      </c>
      <c r="G791">
        <f t="shared" si="25"/>
        <v>4</v>
      </c>
    </row>
    <row r="792" spans="1:7" x14ac:dyDescent="0.15">
      <c r="A792" t="str">
        <f>INDEX(最终表!$A:$Y,语言表!$F792+4,INDEX($F$2:$L$2,1,$G792+1))</f>
        <v>t_director_option2_2000000</v>
      </c>
      <c r="B792" t="str">
        <f>INDEX(最终表!$A:$Y,语言表!$F792+4,INDEX($F$1:$L$1,1,$G792+1))</f>
        <v/>
      </c>
      <c r="F792">
        <f t="shared" si="24"/>
        <v>152</v>
      </c>
      <c r="G792">
        <f t="shared" si="25"/>
        <v>4</v>
      </c>
    </row>
    <row r="793" spans="1:7" x14ac:dyDescent="0.15">
      <c r="A793" t="str">
        <f>INDEX(最终表!$A:$Y,语言表!$F793+4,INDEX($F$2:$L$2,1,$G793+1))</f>
        <v>t_director_option2_2000001</v>
      </c>
      <c r="B793" t="str">
        <f>INDEX(最终表!$A:$Y,语言表!$F793+4,INDEX($F$1:$L$1,1,$G793+1))</f>
        <v/>
      </c>
      <c r="F793">
        <f t="shared" si="24"/>
        <v>153</v>
      </c>
      <c r="G793">
        <f t="shared" si="25"/>
        <v>4</v>
      </c>
    </row>
    <row r="794" spans="1:7" x14ac:dyDescent="0.15">
      <c r="A794" t="str">
        <f>INDEX(最终表!$A:$Y,语言表!$F794+4,INDEX($F$2:$L$2,1,$G794+1))</f>
        <v>t_director_option2_2000002</v>
      </c>
      <c r="B794" t="str">
        <f>INDEX(最终表!$A:$Y,语言表!$F794+4,INDEX($F$1:$L$1,1,$G794+1))</f>
        <v/>
      </c>
      <c r="F794">
        <f t="shared" si="24"/>
        <v>154</v>
      </c>
      <c r="G794">
        <f t="shared" si="25"/>
        <v>4</v>
      </c>
    </row>
    <row r="795" spans="1:7" x14ac:dyDescent="0.15">
      <c r="A795" t="str">
        <f>INDEX(最终表!$A:$Y,语言表!$F795+4,INDEX($F$2:$L$2,1,$G795+1))</f>
        <v>t_director_option2_2000003</v>
      </c>
      <c r="B795" t="str">
        <f>INDEX(最终表!$A:$Y,语言表!$F795+4,INDEX($F$1:$L$1,1,$G795+1))</f>
        <v/>
      </c>
      <c r="F795">
        <f t="shared" si="24"/>
        <v>155</v>
      </c>
      <c r="G795">
        <f t="shared" si="25"/>
        <v>4</v>
      </c>
    </row>
    <row r="796" spans="1:7" x14ac:dyDescent="0.15">
      <c r="A796" t="str">
        <f>INDEX(最终表!$A:$Y,语言表!$F796+4,INDEX($F$2:$L$2,1,$G796+1))</f>
        <v>t_director_option2_2000004</v>
      </c>
      <c r="B796" t="str">
        <f>INDEX(最终表!$A:$Y,语言表!$F796+4,INDEX($F$1:$L$1,1,$G796+1))</f>
        <v/>
      </c>
      <c r="F796">
        <f t="shared" si="24"/>
        <v>156</v>
      </c>
      <c r="G796">
        <f t="shared" si="25"/>
        <v>4</v>
      </c>
    </row>
    <row r="797" spans="1:7" x14ac:dyDescent="0.15">
      <c r="A797" t="str">
        <f>INDEX(最终表!$A:$Y,语言表!$F797+4,INDEX($F$2:$L$2,1,$G797+1))</f>
        <v>t_director_option2_2000005</v>
      </c>
      <c r="B797" t="str">
        <f>INDEX(最终表!$A:$Y,语言表!$F797+4,INDEX($F$1:$L$1,1,$G797+1))</f>
        <v/>
      </c>
      <c r="F797">
        <f t="shared" si="24"/>
        <v>157</v>
      </c>
      <c r="G797">
        <f t="shared" si="25"/>
        <v>4</v>
      </c>
    </row>
    <row r="798" spans="1:7" x14ac:dyDescent="0.15">
      <c r="A798" t="str">
        <f>INDEX(最终表!$A:$Y,语言表!$F798+4,INDEX($F$2:$L$2,1,$G798+1))</f>
        <v>t_director_option2_2000006</v>
      </c>
      <c r="B798" t="str">
        <f>INDEX(最终表!$A:$Y,语言表!$F798+4,INDEX($F$1:$L$1,1,$G798+1))</f>
        <v/>
      </c>
      <c r="F798">
        <f t="shared" si="24"/>
        <v>158</v>
      </c>
      <c r="G798">
        <f t="shared" si="25"/>
        <v>4</v>
      </c>
    </row>
    <row r="799" spans="1:7" x14ac:dyDescent="0.15">
      <c r="A799" t="str">
        <f>INDEX(最终表!$A:$Y,语言表!$F799+4,INDEX($F$2:$L$2,1,$G799+1))</f>
        <v>t_director_option3_1100100</v>
      </c>
      <c r="B799" t="str">
        <f>INDEX(最终表!$A:$Y,语言表!$F799+4,INDEX($F$1:$L$1,1,$G799+1))</f>
        <v/>
      </c>
      <c r="F799">
        <f t="shared" si="24"/>
        <v>0</v>
      </c>
      <c r="G799">
        <f t="shared" si="25"/>
        <v>5</v>
      </c>
    </row>
    <row r="800" spans="1:7" x14ac:dyDescent="0.15">
      <c r="A800" t="str">
        <f>INDEX(最终表!$A:$Y,语言表!$F800+4,INDEX($F$2:$L$2,1,$G800+1))</f>
        <v>t_director_option3_1100101</v>
      </c>
      <c r="B800" t="str">
        <f>INDEX(最终表!$A:$Y,语言表!$F800+4,INDEX($F$1:$L$1,1,$G800+1))</f>
        <v/>
      </c>
      <c r="F800">
        <f t="shared" si="24"/>
        <v>1</v>
      </c>
      <c r="G800">
        <f t="shared" si="25"/>
        <v>5</v>
      </c>
    </row>
    <row r="801" spans="1:7" x14ac:dyDescent="0.15">
      <c r="A801" t="str">
        <f>INDEX(最终表!$A:$Y,语言表!$F801+4,INDEX($F$2:$L$2,1,$G801+1))</f>
        <v>t_director_option3_1100102</v>
      </c>
      <c r="B801" t="str">
        <f>INDEX(最终表!$A:$Y,语言表!$F801+4,INDEX($F$1:$L$1,1,$G801+1))</f>
        <v/>
      </c>
      <c r="F801">
        <f t="shared" si="24"/>
        <v>2</v>
      </c>
      <c r="G801">
        <f t="shared" si="25"/>
        <v>5</v>
      </c>
    </row>
    <row r="802" spans="1:7" x14ac:dyDescent="0.15">
      <c r="A802" t="str">
        <f>INDEX(最终表!$A:$Y,语言表!$F802+4,INDEX($F$2:$L$2,1,$G802+1))</f>
        <v>t_director_option3_1100200</v>
      </c>
      <c r="B802" t="str">
        <f>INDEX(最终表!$A:$Y,语言表!$F802+4,INDEX($F$1:$L$1,1,$G802+1))</f>
        <v/>
      </c>
      <c r="F802">
        <f t="shared" si="24"/>
        <v>3</v>
      </c>
      <c r="G802">
        <f t="shared" si="25"/>
        <v>5</v>
      </c>
    </row>
    <row r="803" spans="1:7" x14ac:dyDescent="0.15">
      <c r="A803" t="str">
        <f>INDEX(最终表!$A:$Y,语言表!$F803+4,INDEX($F$2:$L$2,1,$G803+1))</f>
        <v>t_director_option3_1100201</v>
      </c>
      <c r="B803" t="str">
        <f>INDEX(最终表!$A:$Y,语言表!$F803+4,INDEX($F$1:$L$1,1,$G803+1))</f>
        <v/>
      </c>
      <c r="F803">
        <f t="shared" si="24"/>
        <v>4</v>
      </c>
      <c r="G803">
        <f t="shared" si="25"/>
        <v>5</v>
      </c>
    </row>
    <row r="804" spans="1:7" x14ac:dyDescent="0.15">
      <c r="A804" t="str">
        <f>INDEX(最终表!$A:$Y,语言表!$F804+4,INDEX($F$2:$L$2,1,$G804+1))</f>
        <v>t_director_option3_1100202</v>
      </c>
      <c r="B804" t="str">
        <f>INDEX(最终表!$A:$Y,语言表!$F804+4,INDEX($F$1:$L$1,1,$G804+1))</f>
        <v/>
      </c>
      <c r="F804">
        <f t="shared" si="24"/>
        <v>5</v>
      </c>
      <c r="G804">
        <f t="shared" si="25"/>
        <v>5</v>
      </c>
    </row>
    <row r="805" spans="1:7" x14ac:dyDescent="0.15">
      <c r="A805" t="str">
        <f>INDEX(最终表!$A:$Y,语言表!$F805+4,INDEX($F$2:$L$2,1,$G805+1))</f>
        <v>t_director_option3_1100203</v>
      </c>
      <c r="B805" t="str">
        <f>INDEX(最终表!$A:$Y,语言表!$F805+4,INDEX($F$1:$L$1,1,$G805+1))</f>
        <v/>
      </c>
      <c r="F805">
        <f t="shared" si="24"/>
        <v>6</v>
      </c>
      <c r="G805">
        <f t="shared" si="25"/>
        <v>5</v>
      </c>
    </row>
    <row r="806" spans="1:7" x14ac:dyDescent="0.15">
      <c r="A806" t="str">
        <f>INDEX(最终表!$A:$Y,语言表!$F806+4,INDEX($F$2:$L$2,1,$G806+1))</f>
        <v>t_director_option3_1100300</v>
      </c>
      <c r="B806" t="str">
        <f>INDEX(最终表!$A:$Y,语言表!$F806+4,INDEX($F$1:$L$1,1,$G806+1))</f>
        <v/>
      </c>
      <c r="F806">
        <f t="shared" si="24"/>
        <v>7</v>
      </c>
      <c r="G806">
        <f t="shared" si="25"/>
        <v>5</v>
      </c>
    </row>
    <row r="807" spans="1:7" x14ac:dyDescent="0.15">
      <c r="A807" t="str">
        <f>INDEX(最终表!$A:$Y,语言表!$F807+4,INDEX($F$2:$L$2,1,$G807+1))</f>
        <v>t_director_option3_1100301</v>
      </c>
      <c r="B807" t="str">
        <f>INDEX(最终表!$A:$Y,语言表!$F807+4,INDEX($F$1:$L$1,1,$G807+1))</f>
        <v/>
      </c>
      <c r="F807">
        <f t="shared" si="24"/>
        <v>8</v>
      </c>
      <c r="G807">
        <f t="shared" si="25"/>
        <v>5</v>
      </c>
    </row>
    <row r="808" spans="1:7" x14ac:dyDescent="0.15">
      <c r="A808" t="str">
        <f>INDEX(最终表!$A:$Y,语言表!$F808+4,INDEX($F$2:$L$2,1,$G808+1))</f>
        <v>t_director_option3_1100400</v>
      </c>
      <c r="B808" t="str">
        <f>INDEX(最终表!$A:$Y,语言表!$F808+4,INDEX($F$1:$L$1,1,$G808+1))</f>
        <v/>
      </c>
      <c r="F808">
        <f t="shared" si="24"/>
        <v>9</v>
      </c>
      <c r="G808">
        <f t="shared" si="25"/>
        <v>5</v>
      </c>
    </row>
    <row r="809" spans="1:7" x14ac:dyDescent="0.15">
      <c r="A809" t="str">
        <f>INDEX(最终表!$A:$Y,语言表!$F809+4,INDEX($F$2:$L$2,1,$G809+1))</f>
        <v>t_director_option3_1100401</v>
      </c>
      <c r="B809" t="str">
        <f>INDEX(最终表!$A:$Y,语言表!$F809+4,INDEX($F$1:$L$1,1,$G809+1))</f>
        <v/>
      </c>
      <c r="F809">
        <f t="shared" si="24"/>
        <v>10</v>
      </c>
      <c r="G809">
        <f t="shared" si="25"/>
        <v>5</v>
      </c>
    </row>
    <row r="810" spans="1:7" x14ac:dyDescent="0.15">
      <c r="A810" t="str">
        <f>INDEX(最终表!$A:$Y,语言表!$F810+4,INDEX($F$2:$L$2,1,$G810+1))</f>
        <v>t_director_option3_1100450</v>
      </c>
      <c r="B810" t="str">
        <f>INDEX(最终表!$A:$Y,语言表!$F810+4,INDEX($F$1:$L$1,1,$G810+1))</f>
        <v/>
      </c>
      <c r="F810">
        <f t="shared" si="24"/>
        <v>11</v>
      </c>
      <c r="G810">
        <f t="shared" si="25"/>
        <v>5</v>
      </c>
    </row>
    <row r="811" spans="1:7" x14ac:dyDescent="0.15">
      <c r="A811" t="str">
        <f>INDEX(最终表!$A:$Y,语言表!$F811+4,INDEX($F$2:$L$2,1,$G811+1))</f>
        <v>t_director_option3_1100451</v>
      </c>
      <c r="B811" t="str">
        <f>INDEX(最终表!$A:$Y,语言表!$F811+4,INDEX($F$1:$L$1,1,$G811+1))</f>
        <v/>
      </c>
      <c r="F811">
        <f t="shared" si="24"/>
        <v>12</v>
      </c>
      <c r="G811">
        <f t="shared" si="25"/>
        <v>5</v>
      </c>
    </row>
    <row r="812" spans="1:7" x14ac:dyDescent="0.15">
      <c r="A812" t="str">
        <f>INDEX(最终表!$A:$Y,语言表!$F812+4,INDEX($F$2:$L$2,1,$G812+1))</f>
        <v>t_director_option3_1100480</v>
      </c>
      <c r="B812" t="str">
        <f>INDEX(最终表!$A:$Y,语言表!$F812+4,INDEX($F$1:$L$1,1,$G812+1))</f>
        <v/>
      </c>
      <c r="F812">
        <f t="shared" si="24"/>
        <v>13</v>
      </c>
      <c r="G812">
        <f t="shared" si="25"/>
        <v>5</v>
      </c>
    </row>
    <row r="813" spans="1:7" x14ac:dyDescent="0.15">
      <c r="A813" t="str">
        <f>INDEX(最终表!$A:$Y,语言表!$F813+4,INDEX($F$2:$L$2,1,$G813+1))</f>
        <v>t_director_option3_1100481</v>
      </c>
      <c r="B813" t="str">
        <f>INDEX(最终表!$A:$Y,语言表!$F813+4,INDEX($F$1:$L$1,1,$G813+1))</f>
        <v/>
      </c>
      <c r="F813">
        <f t="shared" si="24"/>
        <v>14</v>
      </c>
      <c r="G813">
        <f t="shared" si="25"/>
        <v>5</v>
      </c>
    </row>
    <row r="814" spans="1:7" x14ac:dyDescent="0.15">
      <c r="A814" t="str">
        <f>INDEX(最终表!$A:$Y,语言表!$F814+4,INDEX($F$2:$L$2,1,$G814+1))</f>
        <v>t_director_option3_1100500</v>
      </c>
      <c r="B814" t="str">
        <f>INDEX(最终表!$A:$Y,语言表!$F814+4,INDEX($F$1:$L$1,1,$G814+1))</f>
        <v/>
      </c>
      <c r="F814">
        <f t="shared" si="24"/>
        <v>15</v>
      </c>
      <c r="G814">
        <f t="shared" si="25"/>
        <v>5</v>
      </c>
    </row>
    <row r="815" spans="1:7" x14ac:dyDescent="0.15">
      <c r="A815" t="str">
        <f>INDEX(最终表!$A:$Y,语言表!$F815+4,INDEX($F$2:$L$2,1,$G815+1))</f>
        <v>t_director_option3_1100501</v>
      </c>
      <c r="B815" t="str">
        <f>INDEX(最终表!$A:$Y,语言表!$F815+4,INDEX($F$1:$L$1,1,$G815+1))</f>
        <v/>
      </c>
      <c r="F815">
        <f t="shared" si="24"/>
        <v>16</v>
      </c>
      <c r="G815">
        <f t="shared" si="25"/>
        <v>5</v>
      </c>
    </row>
    <row r="816" spans="1:7" x14ac:dyDescent="0.15">
      <c r="A816" t="str">
        <f>INDEX(最终表!$A:$Y,语言表!$F816+4,INDEX($F$2:$L$2,1,$G816+1))</f>
        <v>t_director_option3_1100550</v>
      </c>
      <c r="B816" t="str">
        <f>INDEX(最终表!$A:$Y,语言表!$F816+4,INDEX($F$1:$L$1,1,$G816+1))</f>
        <v/>
      </c>
      <c r="F816">
        <f t="shared" si="24"/>
        <v>17</v>
      </c>
      <c r="G816">
        <f t="shared" si="25"/>
        <v>5</v>
      </c>
    </row>
    <row r="817" spans="1:7" x14ac:dyDescent="0.15">
      <c r="A817" t="str">
        <f>INDEX(最终表!$A:$Y,语言表!$F817+4,INDEX($F$2:$L$2,1,$G817+1))</f>
        <v>t_director_option3_1100551</v>
      </c>
      <c r="B817" t="str">
        <f>INDEX(最终表!$A:$Y,语言表!$F817+4,INDEX($F$1:$L$1,1,$G817+1))</f>
        <v/>
      </c>
      <c r="F817">
        <f t="shared" si="24"/>
        <v>18</v>
      </c>
      <c r="G817">
        <f t="shared" si="25"/>
        <v>5</v>
      </c>
    </row>
    <row r="818" spans="1:7" x14ac:dyDescent="0.15">
      <c r="A818" t="str">
        <f>INDEX(最终表!$A:$Y,语言表!$F818+4,INDEX($F$2:$L$2,1,$G818+1))</f>
        <v>t_director_option3_1100552</v>
      </c>
      <c r="B818" t="str">
        <f>INDEX(最终表!$A:$Y,语言表!$F818+4,INDEX($F$1:$L$1,1,$G818+1))</f>
        <v/>
      </c>
      <c r="F818">
        <f t="shared" si="24"/>
        <v>19</v>
      </c>
      <c r="G818">
        <f t="shared" si="25"/>
        <v>5</v>
      </c>
    </row>
    <row r="819" spans="1:7" x14ac:dyDescent="0.15">
      <c r="A819" t="str">
        <f>INDEX(最终表!$A:$Y,语言表!$F819+4,INDEX($F$2:$L$2,1,$G819+1))</f>
        <v>t_director_option3_1100553</v>
      </c>
      <c r="B819" t="str">
        <f>INDEX(最终表!$A:$Y,语言表!$F819+4,INDEX($F$1:$L$1,1,$G819+1))</f>
        <v/>
      </c>
      <c r="F819">
        <f t="shared" si="24"/>
        <v>20</v>
      </c>
      <c r="G819">
        <f t="shared" si="25"/>
        <v>5</v>
      </c>
    </row>
    <row r="820" spans="1:7" x14ac:dyDescent="0.15">
      <c r="A820" t="str">
        <f>INDEX(最终表!$A:$Y,语言表!$F820+4,INDEX($F$2:$L$2,1,$G820+1))</f>
        <v>t_director_option3_1100580</v>
      </c>
      <c r="B820" t="str">
        <f>INDEX(最终表!$A:$Y,语言表!$F820+4,INDEX($F$1:$L$1,1,$G820+1))</f>
        <v/>
      </c>
      <c r="F820">
        <f t="shared" si="24"/>
        <v>21</v>
      </c>
      <c r="G820">
        <f t="shared" si="25"/>
        <v>5</v>
      </c>
    </row>
    <row r="821" spans="1:7" x14ac:dyDescent="0.15">
      <c r="A821" t="str">
        <f>INDEX(最终表!$A:$Y,语言表!$F821+4,INDEX($F$2:$L$2,1,$G821+1))</f>
        <v>t_director_option3_1100581</v>
      </c>
      <c r="B821" t="str">
        <f>INDEX(最终表!$A:$Y,语言表!$F821+4,INDEX($F$1:$L$1,1,$G821+1))</f>
        <v/>
      </c>
      <c r="F821">
        <f t="shared" si="24"/>
        <v>22</v>
      </c>
      <c r="G821">
        <f t="shared" si="25"/>
        <v>5</v>
      </c>
    </row>
    <row r="822" spans="1:7" x14ac:dyDescent="0.15">
      <c r="A822" t="str">
        <f>INDEX(最终表!$A:$Y,语言表!$F822+4,INDEX($F$2:$L$2,1,$G822+1))</f>
        <v>t_director_option3_1100600</v>
      </c>
      <c r="B822" t="str">
        <f>INDEX(最终表!$A:$Y,语言表!$F822+4,INDEX($F$1:$L$1,1,$G822+1))</f>
        <v/>
      </c>
      <c r="F822">
        <f t="shared" si="24"/>
        <v>23</v>
      </c>
      <c r="G822">
        <f t="shared" si="25"/>
        <v>5</v>
      </c>
    </row>
    <row r="823" spans="1:7" x14ac:dyDescent="0.15">
      <c r="A823" t="str">
        <f>INDEX(最终表!$A:$Y,语言表!$F823+4,INDEX($F$2:$L$2,1,$G823+1))</f>
        <v>t_director_option3_1100601</v>
      </c>
      <c r="B823" t="str">
        <f>INDEX(最终表!$A:$Y,语言表!$F823+4,INDEX($F$1:$L$1,1,$G823+1))</f>
        <v/>
      </c>
      <c r="F823">
        <f t="shared" si="24"/>
        <v>24</v>
      </c>
      <c r="G823">
        <f t="shared" si="25"/>
        <v>5</v>
      </c>
    </row>
    <row r="824" spans="1:7" x14ac:dyDescent="0.15">
      <c r="A824" t="str">
        <f>INDEX(最终表!$A:$Y,语言表!$F824+4,INDEX($F$2:$L$2,1,$G824+1))</f>
        <v>t_director_option3_1100602</v>
      </c>
      <c r="B824" t="str">
        <f>INDEX(最终表!$A:$Y,语言表!$F824+4,INDEX($F$1:$L$1,1,$G824+1))</f>
        <v/>
      </c>
      <c r="F824">
        <f t="shared" si="24"/>
        <v>25</v>
      </c>
      <c r="G824">
        <f t="shared" si="25"/>
        <v>5</v>
      </c>
    </row>
    <row r="825" spans="1:7" x14ac:dyDescent="0.15">
      <c r="A825" t="str">
        <f>INDEX(最终表!$A:$Y,语言表!$F825+4,INDEX($F$2:$L$2,1,$G825+1))</f>
        <v>t_director_option3_1100603</v>
      </c>
      <c r="B825" t="str">
        <f>INDEX(最终表!$A:$Y,语言表!$F825+4,INDEX($F$1:$L$1,1,$G825+1))</f>
        <v/>
      </c>
      <c r="F825">
        <f t="shared" si="24"/>
        <v>26</v>
      </c>
      <c r="G825">
        <f t="shared" si="25"/>
        <v>5</v>
      </c>
    </row>
    <row r="826" spans="1:7" x14ac:dyDescent="0.15">
      <c r="A826" t="str">
        <f>INDEX(最终表!$A:$Y,语言表!$F826+4,INDEX($F$2:$L$2,1,$G826+1))</f>
        <v>t_director_option3_1100604</v>
      </c>
      <c r="B826" t="str">
        <f>INDEX(最终表!$A:$Y,语言表!$F826+4,INDEX($F$1:$L$1,1,$G826+1))</f>
        <v/>
      </c>
      <c r="F826">
        <f t="shared" si="24"/>
        <v>27</v>
      </c>
      <c r="G826">
        <f t="shared" si="25"/>
        <v>5</v>
      </c>
    </row>
    <row r="827" spans="1:7" x14ac:dyDescent="0.15">
      <c r="A827" t="str">
        <f>INDEX(最终表!$A:$Y,语言表!$F827+4,INDEX($F$2:$L$2,1,$G827+1))</f>
        <v>t_director_option3_1100700</v>
      </c>
      <c r="B827" t="str">
        <f>INDEX(最终表!$A:$Y,语言表!$F827+4,INDEX($F$1:$L$1,1,$G827+1))</f>
        <v/>
      </c>
      <c r="F827">
        <f t="shared" si="24"/>
        <v>28</v>
      </c>
      <c r="G827">
        <f t="shared" si="25"/>
        <v>5</v>
      </c>
    </row>
    <row r="828" spans="1:7" x14ac:dyDescent="0.15">
      <c r="A828" t="str">
        <f>INDEX(最终表!$A:$Y,语言表!$F828+4,INDEX($F$2:$L$2,1,$G828+1))</f>
        <v>t_director_option3_1100701</v>
      </c>
      <c r="B828" t="str">
        <f>INDEX(最终表!$A:$Y,语言表!$F828+4,INDEX($F$1:$L$1,1,$G828+1))</f>
        <v/>
      </c>
      <c r="F828">
        <f t="shared" si="24"/>
        <v>29</v>
      </c>
      <c r="G828">
        <f t="shared" si="25"/>
        <v>5</v>
      </c>
    </row>
    <row r="829" spans="1:7" x14ac:dyDescent="0.15">
      <c r="A829" t="str">
        <f>INDEX(最终表!$A:$Y,语言表!$F829+4,INDEX($F$2:$L$2,1,$G829+1))</f>
        <v>t_director_option3_1100702</v>
      </c>
      <c r="B829" t="str">
        <f>INDEX(最终表!$A:$Y,语言表!$F829+4,INDEX($F$1:$L$1,1,$G829+1))</f>
        <v/>
      </c>
      <c r="F829">
        <f t="shared" si="24"/>
        <v>30</v>
      </c>
      <c r="G829">
        <f t="shared" si="25"/>
        <v>5</v>
      </c>
    </row>
    <row r="830" spans="1:7" x14ac:dyDescent="0.15">
      <c r="A830" t="str">
        <f>INDEX(最终表!$A:$Y,语言表!$F830+4,INDEX($F$2:$L$2,1,$G830+1))</f>
        <v>t_director_option3_1100800</v>
      </c>
      <c r="B830" t="str">
        <f>INDEX(最终表!$A:$Y,语言表!$F830+4,INDEX($F$1:$L$1,1,$G830+1))</f>
        <v/>
      </c>
      <c r="F830">
        <f t="shared" si="24"/>
        <v>31</v>
      </c>
      <c r="G830">
        <f t="shared" si="25"/>
        <v>5</v>
      </c>
    </row>
    <row r="831" spans="1:7" x14ac:dyDescent="0.15">
      <c r="A831" t="str">
        <f>INDEX(最终表!$A:$Y,语言表!$F831+4,INDEX($F$2:$L$2,1,$G831+1))</f>
        <v>t_director_option3_1100801</v>
      </c>
      <c r="B831" t="str">
        <f>INDEX(最终表!$A:$Y,语言表!$F831+4,INDEX($F$1:$L$1,1,$G831+1))</f>
        <v/>
      </c>
      <c r="F831">
        <f t="shared" si="24"/>
        <v>32</v>
      </c>
      <c r="G831">
        <f t="shared" si="25"/>
        <v>5</v>
      </c>
    </row>
    <row r="832" spans="1:7" x14ac:dyDescent="0.15">
      <c r="A832" t="str">
        <f>INDEX(最终表!$A:$Y,语言表!$F832+4,INDEX($F$2:$L$2,1,$G832+1))</f>
        <v>t_director_option3_1100802</v>
      </c>
      <c r="B832" t="str">
        <f>INDEX(最终表!$A:$Y,语言表!$F832+4,INDEX($F$1:$L$1,1,$G832+1))</f>
        <v/>
      </c>
      <c r="F832">
        <f t="shared" si="24"/>
        <v>33</v>
      </c>
      <c r="G832">
        <f t="shared" si="25"/>
        <v>5</v>
      </c>
    </row>
    <row r="833" spans="1:7" x14ac:dyDescent="0.15">
      <c r="A833" t="str">
        <f>INDEX(最终表!$A:$Y,语言表!$F833+4,INDEX($F$2:$L$2,1,$G833+1))</f>
        <v>t_director_option3_1100803</v>
      </c>
      <c r="B833" t="str">
        <f>INDEX(最终表!$A:$Y,语言表!$F833+4,INDEX($F$1:$L$1,1,$G833+1))</f>
        <v/>
      </c>
      <c r="F833">
        <f t="shared" si="24"/>
        <v>34</v>
      </c>
      <c r="G833">
        <f t="shared" si="25"/>
        <v>5</v>
      </c>
    </row>
    <row r="834" spans="1:7" x14ac:dyDescent="0.15">
      <c r="A834" t="str">
        <f>INDEX(最终表!$A:$Y,语言表!$F834+4,INDEX($F$2:$L$2,1,$G834+1))</f>
        <v>t_director_option3_1100804</v>
      </c>
      <c r="B834" t="str">
        <f>INDEX(最终表!$A:$Y,语言表!$F834+4,INDEX($F$1:$L$1,1,$G834+1))</f>
        <v/>
      </c>
      <c r="F834">
        <f t="shared" si="24"/>
        <v>35</v>
      </c>
      <c r="G834">
        <f t="shared" si="25"/>
        <v>5</v>
      </c>
    </row>
    <row r="835" spans="1:7" x14ac:dyDescent="0.15">
      <c r="A835" t="str">
        <f>INDEX(最终表!$A:$Y,语言表!$F835+4,INDEX($F$2:$L$2,1,$G835+1))</f>
        <v>t_director_option3_1100805</v>
      </c>
      <c r="B835" t="str">
        <f>INDEX(最终表!$A:$Y,语言表!$F835+4,INDEX($F$1:$L$1,1,$G835+1))</f>
        <v/>
      </c>
      <c r="F835">
        <f t="shared" si="24"/>
        <v>36</v>
      </c>
      <c r="G835">
        <f t="shared" si="25"/>
        <v>5</v>
      </c>
    </row>
    <row r="836" spans="1:7" x14ac:dyDescent="0.15">
      <c r="A836" t="str">
        <f>INDEX(最终表!$A:$Y,语言表!$F836+4,INDEX($F$2:$L$2,1,$G836+1))</f>
        <v>t_director_option3_1100900</v>
      </c>
      <c r="B836" t="str">
        <f>INDEX(最终表!$A:$Y,语言表!$F836+4,INDEX($F$1:$L$1,1,$G836+1))</f>
        <v/>
      </c>
      <c r="F836">
        <f t="shared" si="24"/>
        <v>37</v>
      </c>
      <c r="G836">
        <f t="shared" si="25"/>
        <v>5</v>
      </c>
    </row>
    <row r="837" spans="1:7" x14ac:dyDescent="0.15">
      <c r="A837" t="str">
        <f>INDEX(最终表!$A:$Y,语言表!$F837+4,INDEX($F$2:$L$2,1,$G837+1))</f>
        <v>t_director_option3_1100901</v>
      </c>
      <c r="B837" t="str">
        <f>INDEX(最终表!$A:$Y,语言表!$F837+4,INDEX($F$1:$L$1,1,$G837+1))</f>
        <v/>
      </c>
      <c r="F837">
        <f t="shared" ref="F837:F900" si="26">MOD(ROW()-4,$N$1-3)</f>
        <v>38</v>
      </c>
      <c r="G837">
        <f t="shared" ref="G837:G900" si="27">INT((ROW()-4)/($N$1-3))</f>
        <v>5</v>
      </c>
    </row>
    <row r="838" spans="1:7" x14ac:dyDescent="0.15">
      <c r="A838" t="str">
        <f>INDEX(最终表!$A:$Y,语言表!$F838+4,INDEX($F$2:$L$2,1,$G838+1))</f>
        <v>t_director_option3_1100902</v>
      </c>
      <c r="B838" t="str">
        <f>INDEX(最终表!$A:$Y,语言表!$F838+4,INDEX($F$1:$L$1,1,$G838+1))</f>
        <v/>
      </c>
      <c r="F838">
        <f t="shared" si="26"/>
        <v>39</v>
      </c>
      <c r="G838">
        <f t="shared" si="27"/>
        <v>5</v>
      </c>
    </row>
    <row r="839" spans="1:7" x14ac:dyDescent="0.15">
      <c r="A839" t="str">
        <f>INDEX(最终表!$A:$Y,语言表!$F839+4,INDEX($F$2:$L$2,1,$G839+1))</f>
        <v>t_director_option3_1100903</v>
      </c>
      <c r="B839" t="str">
        <f>INDEX(最终表!$A:$Y,语言表!$F839+4,INDEX($F$1:$L$1,1,$G839+1))</f>
        <v/>
      </c>
      <c r="F839">
        <f t="shared" si="26"/>
        <v>40</v>
      </c>
      <c r="G839">
        <f t="shared" si="27"/>
        <v>5</v>
      </c>
    </row>
    <row r="840" spans="1:7" x14ac:dyDescent="0.15">
      <c r="A840" t="str">
        <f>INDEX(最终表!$A:$Y,语言表!$F840+4,INDEX($F$2:$L$2,1,$G840+1))</f>
        <v>t_director_option3_1100904</v>
      </c>
      <c r="B840" t="str">
        <f>INDEX(最终表!$A:$Y,语言表!$F840+4,INDEX($F$1:$L$1,1,$G840+1))</f>
        <v/>
      </c>
      <c r="F840">
        <f t="shared" si="26"/>
        <v>41</v>
      </c>
      <c r="G840">
        <f t="shared" si="27"/>
        <v>5</v>
      </c>
    </row>
    <row r="841" spans="1:7" x14ac:dyDescent="0.15">
      <c r="A841" t="str">
        <f>INDEX(最终表!$A:$Y,语言表!$F841+4,INDEX($F$2:$L$2,1,$G841+1))</f>
        <v>t_director_option3_1100905</v>
      </c>
      <c r="B841" t="str">
        <f>INDEX(最终表!$A:$Y,语言表!$F841+4,INDEX($F$1:$L$1,1,$G841+1))</f>
        <v/>
      </c>
      <c r="F841">
        <f t="shared" si="26"/>
        <v>42</v>
      </c>
      <c r="G841">
        <f t="shared" si="27"/>
        <v>5</v>
      </c>
    </row>
    <row r="842" spans="1:7" x14ac:dyDescent="0.15">
      <c r="A842" t="str">
        <f>INDEX(最终表!$A:$Y,语言表!$F842+4,INDEX($F$2:$L$2,1,$G842+1))</f>
        <v>t_director_option3_1100906</v>
      </c>
      <c r="B842" t="str">
        <f>INDEX(最终表!$A:$Y,语言表!$F842+4,INDEX($F$1:$L$1,1,$G842+1))</f>
        <v>60分钟</v>
      </c>
      <c r="F842">
        <f t="shared" si="26"/>
        <v>43</v>
      </c>
      <c r="G842">
        <f t="shared" si="27"/>
        <v>5</v>
      </c>
    </row>
    <row r="843" spans="1:7" x14ac:dyDescent="0.15">
      <c r="A843" t="str">
        <f>INDEX(最终表!$A:$Y,语言表!$F843+4,INDEX($F$2:$L$2,1,$G843+1))</f>
        <v>t_director_option3_1100907</v>
      </c>
      <c r="B843" t="str">
        <f>INDEX(最终表!$A:$Y,语言表!$F843+4,INDEX($F$1:$L$1,1,$G843+1))</f>
        <v>4个</v>
      </c>
      <c r="F843">
        <f t="shared" si="26"/>
        <v>44</v>
      </c>
      <c r="G843">
        <f t="shared" si="27"/>
        <v>5</v>
      </c>
    </row>
    <row r="844" spans="1:7" x14ac:dyDescent="0.15">
      <c r="A844" t="str">
        <f>INDEX(最终表!$A:$Y,语言表!$F844+4,INDEX($F$2:$L$2,1,$G844+1))</f>
        <v>t_director_option3_1100908</v>
      </c>
      <c r="B844" t="str">
        <f>INDEX(最终表!$A:$Y,语言表!$F844+4,INDEX($F$1:$L$1,1,$G844+1))</f>
        <v/>
      </c>
      <c r="F844">
        <f t="shared" si="26"/>
        <v>45</v>
      </c>
      <c r="G844">
        <f t="shared" si="27"/>
        <v>5</v>
      </c>
    </row>
    <row r="845" spans="1:7" x14ac:dyDescent="0.15">
      <c r="A845" t="str">
        <f>INDEX(最终表!$A:$Y,语言表!$F845+4,INDEX($F$2:$L$2,1,$G845+1))</f>
        <v>t_director_option3_1100909</v>
      </c>
      <c r="B845" t="str">
        <f>INDEX(最终表!$A:$Y,语言表!$F845+4,INDEX($F$1:$L$1,1,$G845+1))</f>
        <v/>
      </c>
      <c r="F845">
        <f t="shared" si="26"/>
        <v>46</v>
      </c>
      <c r="G845">
        <f t="shared" si="27"/>
        <v>5</v>
      </c>
    </row>
    <row r="846" spans="1:7" x14ac:dyDescent="0.15">
      <c r="A846" t="str">
        <f>INDEX(最终表!$A:$Y,语言表!$F846+4,INDEX($F$2:$L$2,1,$G846+1))</f>
        <v>t_director_option3_1100910</v>
      </c>
      <c r="B846" t="str">
        <f>INDEX(最终表!$A:$Y,语言表!$F846+4,INDEX($F$1:$L$1,1,$G846+1))</f>
        <v/>
      </c>
      <c r="F846">
        <f t="shared" si="26"/>
        <v>47</v>
      </c>
      <c r="G846">
        <f t="shared" si="27"/>
        <v>5</v>
      </c>
    </row>
    <row r="847" spans="1:7" x14ac:dyDescent="0.15">
      <c r="A847" t="str">
        <f>INDEX(最终表!$A:$Y,语言表!$F847+4,INDEX($F$2:$L$2,1,$G847+1))</f>
        <v>t_director_option3_1100911</v>
      </c>
      <c r="B847" t="str">
        <f>INDEX(最终表!$A:$Y,语言表!$F847+4,INDEX($F$1:$L$1,1,$G847+1))</f>
        <v/>
      </c>
      <c r="F847">
        <f t="shared" si="26"/>
        <v>48</v>
      </c>
      <c r="G847">
        <f t="shared" si="27"/>
        <v>5</v>
      </c>
    </row>
    <row r="848" spans="1:7" x14ac:dyDescent="0.15">
      <c r="A848" t="str">
        <f>INDEX(最终表!$A:$Y,语言表!$F848+4,INDEX($F$2:$L$2,1,$G848+1))</f>
        <v>t_director_option3_1100912</v>
      </c>
      <c r="B848" t="str">
        <f>INDEX(最终表!$A:$Y,语言表!$F848+4,INDEX($F$1:$L$1,1,$G848+1))</f>
        <v/>
      </c>
      <c r="F848">
        <f t="shared" si="26"/>
        <v>49</v>
      </c>
      <c r="G848">
        <f t="shared" si="27"/>
        <v>5</v>
      </c>
    </row>
    <row r="849" spans="1:7" x14ac:dyDescent="0.15">
      <c r="A849" t="str">
        <f>INDEX(最终表!$A:$Y,语言表!$F849+4,INDEX($F$2:$L$2,1,$G849+1))</f>
        <v>t_director_option3_1101000</v>
      </c>
      <c r="B849" t="str">
        <f>INDEX(最终表!$A:$Y,语言表!$F849+4,INDEX($F$1:$L$1,1,$G849+1))</f>
        <v/>
      </c>
      <c r="F849">
        <f t="shared" si="26"/>
        <v>50</v>
      </c>
      <c r="G849">
        <f t="shared" si="27"/>
        <v>5</v>
      </c>
    </row>
    <row r="850" spans="1:7" x14ac:dyDescent="0.15">
      <c r="A850" t="str">
        <f>INDEX(最终表!$A:$Y,语言表!$F850+4,INDEX($F$2:$L$2,1,$G850+1))</f>
        <v>t_director_option3_1101001</v>
      </c>
      <c r="B850" t="str">
        <f>INDEX(最终表!$A:$Y,语言表!$F850+4,INDEX($F$1:$L$1,1,$G850+1))</f>
        <v/>
      </c>
      <c r="F850">
        <f t="shared" si="26"/>
        <v>51</v>
      </c>
      <c r="G850">
        <f t="shared" si="27"/>
        <v>5</v>
      </c>
    </row>
    <row r="851" spans="1:7" x14ac:dyDescent="0.15">
      <c r="A851" t="str">
        <f>INDEX(最终表!$A:$Y,语言表!$F851+4,INDEX($F$2:$L$2,1,$G851+1))</f>
        <v>t_director_option3_1101002</v>
      </c>
      <c r="B851" t="str">
        <f>INDEX(最终表!$A:$Y,语言表!$F851+4,INDEX($F$1:$L$1,1,$G851+1))</f>
        <v/>
      </c>
      <c r="F851">
        <f t="shared" si="26"/>
        <v>52</v>
      </c>
      <c r="G851">
        <f t="shared" si="27"/>
        <v>5</v>
      </c>
    </row>
    <row r="852" spans="1:7" x14ac:dyDescent="0.15">
      <c r="A852" t="str">
        <f>INDEX(最终表!$A:$Y,语言表!$F852+4,INDEX($F$2:$L$2,1,$G852+1))</f>
        <v>t_director_option3_1101100</v>
      </c>
      <c r="B852" t="str">
        <f>INDEX(最终表!$A:$Y,语言表!$F852+4,INDEX($F$1:$L$1,1,$G852+1))</f>
        <v/>
      </c>
      <c r="F852">
        <f t="shared" si="26"/>
        <v>53</v>
      </c>
      <c r="G852">
        <f t="shared" si="27"/>
        <v>5</v>
      </c>
    </row>
    <row r="853" spans="1:7" x14ac:dyDescent="0.15">
      <c r="A853" t="str">
        <f>INDEX(最终表!$A:$Y,语言表!$F853+4,INDEX($F$2:$L$2,1,$G853+1))</f>
        <v>t_director_option3_1101101</v>
      </c>
      <c r="B853" t="str">
        <f>INDEX(最终表!$A:$Y,语言表!$F853+4,INDEX($F$1:$L$1,1,$G853+1))</f>
        <v/>
      </c>
      <c r="F853">
        <f t="shared" si="26"/>
        <v>54</v>
      </c>
      <c r="G853">
        <f t="shared" si="27"/>
        <v>5</v>
      </c>
    </row>
    <row r="854" spans="1:7" x14ac:dyDescent="0.15">
      <c r="A854" t="str">
        <f>INDEX(最终表!$A:$Y,语言表!$F854+4,INDEX($F$2:$L$2,1,$G854+1))</f>
        <v>t_director_option3_1101110</v>
      </c>
      <c r="B854" t="str">
        <f>INDEX(最终表!$A:$Y,语言表!$F854+4,INDEX($F$1:$L$1,1,$G854+1))</f>
        <v/>
      </c>
      <c r="F854">
        <f t="shared" si="26"/>
        <v>55</v>
      </c>
      <c r="G854">
        <f t="shared" si="27"/>
        <v>5</v>
      </c>
    </row>
    <row r="855" spans="1:7" x14ac:dyDescent="0.15">
      <c r="A855" t="str">
        <f>INDEX(最终表!$A:$Y,语言表!$F855+4,INDEX($F$2:$L$2,1,$G855+1))</f>
        <v>t_director_option3_1101111</v>
      </c>
      <c r="B855" t="str">
        <f>INDEX(最终表!$A:$Y,语言表!$F855+4,INDEX($F$1:$L$1,1,$G855+1))</f>
        <v/>
      </c>
      <c r="F855">
        <f t="shared" si="26"/>
        <v>56</v>
      </c>
      <c r="G855">
        <f t="shared" si="27"/>
        <v>5</v>
      </c>
    </row>
    <row r="856" spans="1:7" x14ac:dyDescent="0.15">
      <c r="A856" t="str">
        <f>INDEX(最终表!$A:$Y,语言表!$F856+4,INDEX($F$2:$L$2,1,$G856+1))</f>
        <v>t_director_option3_1101112</v>
      </c>
      <c r="B856" t="str">
        <f>INDEX(最终表!$A:$Y,语言表!$F856+4,INDEX($F$1:$L$1,1,$G856+1))</f>
        <v/>
      </c>
      <c r="F856">
        <f t="shared" si="26"/>
        <v>57</v>
      </c>
      <c r="G856">
        <f t="shared" si="27"/>
        <v>5</v>
      </c>
    </row>
    <row r="857" spans="1:7" x14ac:dyDescent="0.15">
      <c r="A857" t="str">
        <f>INDEX(最终表!$A:$Y,语言表!$F857+4,INDEX($F$2:$L$2,1,$G857+1))</f>
        <v>t_director_option3_1101150</v>
      </c>
      <c r="B857" t="str">
        <f>INDEX(最终表!$A:$Y,语言表!$F857+4,INDEX($F$1:$L$1,1,$G857+1))</f>
        <v/>
      </c>
      <c r="F857">
        <f t="shared" si="26"/>
        <v>58</v>
      </c>
      <c r="G857">
        <f t="shared" si="27"/>
        <v>5</v>
      </c>
    </row>
    <row r="858" spans="1:7" x14ac:dyDescent="0.15">
      <c r="A858" t="str">
        <f>INDEX(最终表!$A:$Y,语言表!$F858+4,INDEX($F$2:$L$2,1,$G858+1))</f>
        <v>t_director_option3_1101151</v>
      </c>
      <c r="B858" t="str">
        <f>INDEX(最终表!$A:$Y,语言表!$F858+4,INDEX($F$1:$L$1,1,$G858+1))</f>
        <v/>
      </c>
      <c r="F858">
        <f t="shared" si="26"/>
        <v>59</v>
      </c>
      <c r="G858">
        <f t="shared" si="27"/>
        <v>5</v>
      </c>
    </row>
    <row r="859" spans="1:7" x14ac:dyDescent="0.15">
      <c r="A859" t="str">
        <f>INDEX(最终表!$A:$Y,语言表!$F859+4,INDEX($F$2:$L$2,1,$G859+1))</f>
        <v>t_director_option3_1101152</v>
      </c>
      <c r="B859" t="str">
        <f>INDEX(最终表!$A:$Y,语言表!$F859+4,INDEX($F$1:$L$1,1,$G859+1))</f>
        <v/>
      </c>
      <c r="F859">
        <f t="shared" si="26"/>
        <v>60</v>
      </c>
      <c r="G859">
        <f t="shared" si="27"/>
        <v>5</v>
      </c>
    </row>
    <row r="860" spans="1:7" x14ac:dyDescent="0.15">
      <c r="A860" t="str">
        <f>INDEX(最终表!$A:$Y,语言表!$F860+4,INDEX($F$2:$L$2,1,$G860+1))</f>
        <v>t_director_option3_1101153</v>
      </c>
      <c r="B860" t="str">
        <f>INDEX(最终表!$A:$Y,语言表!$F860+4,INDEX($F$1:$L$1,1,$G860+1))</f>
        <v/>
      </c>
      <c r="F860">
        <f t="shared" si="26"/>
        <v>61</v>
      </c>
      <c r="G860">
        <f t="shared" si="27"/>
        <v>5</v>
      </c>
    </row>
    <row r="861" spans="1:7" x14ac:dyDescent="0.15">
      <c r="A861" t="str">
        <f>INDEX(最终表!$A:$Y,语言表!$F861+4,INDEX($F$2:$L$2,1,$G861+1))</f>
        <v>t_director_option3_1101154</v>
      </c>
      <c r="B861" t="str">
        <f>INDEX(最终表!$A:$Y,语言表!$F861+4,INDEX($F$1:$L$1,1,$G861+1))</f>
        <v/>
      </c>
      <c r="F861">
        <f t="shared" si="26"/>
        <v>62</v>
      </c>
      <c r="G861">
        <f t="shared" si="27"/>
        <v>5</v>
      </c>
    </row>
    <row r="862" spans="1:7" x14ac:dyDescent="0.15">
      <c r="A862" t="str">
        <f>INDEX(最终表!$A:$Y,语言表!$F862+4,INDEX($F$2:$L$2,1,$G862+1))</f>
        <v>t_director_option3_1101155</v>
      </c>
      <c r="B862" t="str">
        <f>INDEX(最终表!$A:$Y,语言表!$F862+4,INDEX($F$1:$L$1,1,$G862+1))</f>
        <v/>
      </c>
      <c r="F862">
        <f t="shared" si="26"/>
        <v>63</v>
      </c>
      <c r="G862">
        <f t="shared" si="27"/>
        <v>5</v>
      </c>
    </row>
    <row r="863" spans="1:7" x14ac:dyDescent="0.15">
      <c r="A863" t="str">
        <f>INDEX(最终表!$A:$Y,语言表!$F863+4,INDEX($F$2:$L$2,1,$G863+1))</f>
        <v>t_director_option3_1101200</v>
      </c>
      <c r="B863" t="str">
        <f>INDEX(最终表!$A:$Y,语言表!$F863+4,INDEX($F$1:$L$1,1,$G863+1))</f>
        <v/>
      </c>
      <c r="F863">
        <f t="shared" si="26"/>
        <v>64</v>
      </c>
      <c r="G863">
        <f t="shared" si="27"/>
        <v>5</v>
      </c>
    </row>
    <row r="864" spans="1:7" x14ac:dyDescent="0.15">
      <c r="A864" t="str">
        <f>INDEX(最终表!$A:$Y,语言表!$F864+4,INDEX($F$2:$L$2,1,$G864+1))</f>
        <v>t_director_option3_1101201</v>
      </c>
      <c r="B864" t="str">
        <f>INDEX(最终表!$A:$Y,语言表!$F864+4,INDEX($F$1:$L$1,1,$G864+1))</f>
        <v/>
      </c>
      <c r="F864">
        <f t="shared" si="26"/>
        <v>65</v>
      </c>
      <c r="G864">
        <f t="shared" si="27"/>
        <v>5</v>
      </c>
    </row>
    <row r="865" spans="1:7" x14ac:dyDescent="0.15">
      <c r="A865" t="str">
        <f>INDEX(最终表!$A:$Y,语言表!$F865+4,INDEX($F$2:$L$2,1,$G865+1))</f>
        <v>t_director_option3_1101202</v>
      </c>
      <c r="B865" t="str">
        <f>INDEX(最终表!$A:$Y,语言表!$F865+4,INDEX($F$1:$L$1,1,$G865+1))</f>
        <v/>
      </c>
      <c r="F865">
        <f t="shared" si="26"/>
        <v>66</v>
      </c>
      <c r="G865">
        <f t="shared" si="27"/>
        <v>5</v>
      </c>
    </row>
    <row r="866" spans="1:7" x14ac:dyDescent="0.15">
      <c r="A866" t="str">
        <f>INDEX(最终表!$A:$Y,语言表!$F866+4,INDEX($F$2:$L$2,1,$G866+1))</f>
        <v>t_director_option3_1101203</v>
      </c>
      <c r="B866" t="str">
        <f>INDEX(最终表!$A:$Y,语言表!$F866+4,INDEX($F$1:$L$1,1,$G866+1))</f>
        <v/>
      </c>
      <c r="F866">
        <f t="shared" si="26"/>
        <v>67</v>
      </c>
      <c r="G866">
        <f t="shared" si="27"/>
        <v>5</v>
      </c>
    </row>
    <row r="867" spans="1:7" x14ac:dyDescent="0.15">
      <c r="A867" t="str">
        <f>INDEX(最终表!$A:$Y,语言表!$F867+4,INDEX($F$2:$L$2,1,$G867+1))</f>
        <v>t_director_option3_1101204</v>
      </c>
      <c r="B867" t="str">
        <f>INDEX(最终表!$A:$Y,语言表!$F867+4,INDEX($F$1:$L$1,1,$G867+1))</f>
        <v/>
      </c>
      <c r="F867">
        <f t="shared" si="26"/>
        <v>68</v>
      </c>
      <c r="G867">
        <f t="shared" si="27"/>
        <v>5</v>
      </c>
    </row>
    <row r="868" spans="1:7" x14ac:dyDescent="0.15">
      <c r="A868" t="str">
        <f>INDEX(最终表!$A:$Y,语言表!$F868+4,INDEX($F$2:$L$2,1,$G868+1))</f>
        <v>t_director_option3_1101205</v>
      </c>
      <c r="B868" t="str">
        <f>INDEX(最终表!$A:$Y,语言表!$F868+4,INDEX($F$1:$L$1,1,$G868+1))</f>
        <v/>
      </c>
      <c r="F868">
        <f t="shared" si="26"/>
        <v>69</v>
      </c>
      <c r="G868">
        <f t="shared" si="27"/>
        <v>5</v>
      </c>
    </row>
    <row r="869" spans="1:7" x14ac:dyDescent="0.15">
      <c r="A869" t="str">
        <f>INDEX(最终表!$A:$Y,语言表!$F869+4,INDEX($F$2:$L$2,1,$G869+1))</f>
        <v>t_director_option3_1101206</v>
      </c>
      <c r="B869" t="str">
        <f>INDEX(最终表!$A:$Y,语言表!$F869+4,INDEX($F$1:$L$1,1,$G869+1))</f>
        <v/>
      </c>
      <c r="F869">
        <f t="shared" si="26"/>
        <v>70</v>
      </c>
      <c r="G869">
        <f t="shared" si="27"/>
        <v>5</v>
      </c>
    </row>
    <row r="870" spans="1:7" x14ac:dyDescent="0.15">
      <c r="A870" t="str">
        <f>INDEX(最终表!$A:$Y,语言表!$F870+4,INDEX($F$2:$L$2,1,$G870+1))</f>
        <v>t_director_option3_1101400</v>
      </c>
      <c r="B870" t="str">
        <f>INDEX(最终表!$A:$Y,语言表!$F870+4,INDEX($F$1:$L$1,1,$G870+1))</f>
        <v/>
      </c>
      <c r="F870">
        <f t="shared" si="26"/>
        <v>71</v>
      </c>
      <c r="G870">
        <f t="shared" si="27"/>
        <v>5</v>
      </c>
    </row>
    <row r="871" spans="1:7" x14ac:dyDescent="0.15">
      <c r="A871" t="str">
        <f>INDEX(最终表!$A:$Y,语言表!$F871+4,INDEX($F$2:$L$2,1,$G871+1))</f>
        <v>t_director_option3_1101401</v>
      </c>
      <c r="B871" t="str">
        <f>INDEX(最终表!$A:$Y,语言表!$F871+4,INDEX($F$1:$L$1,1,$G871+1))</f>
        <v/>
      </c>
      <c r="F871">
        <f t="shared" si="26"/>
        <v>72</v>
      </c>
      <c r="G871">
        <f t="shared" si="27"/>
        <v>5</v>
      </c>
    </row>
    <row r="872" spans="1:7" x14ac:dyDescent="0.15">
      <c r="A872" t="str">
        <f>INDEX(最终表!$A:$Y,语言表!$F872+4,INDEX($F$2:$L$2,1,$G872+1))</f>
        <v>t_director_option3_1101450</v>
      </c>
      <c r="B872" t="str">
        <f>INDEX(最终表!$A:$Y,语言表!$F872+4,INDEX($F$1:$L$1,1,$G872+1))</f>
        <v/>
      </c>
      <c r="F872">
        <f t="shared" si="26"/>
        <v>73</v>
      </c>
      <c r="G872">
        <f t="shared" si="27"/>
        <v>5</v>
      </c>
    </row>
    <row r="873" spans="1:7" x14ac:dyDescent="0.15">
      <c r="A873" t="str">
        <f>INDEX(最终表!$A:$Y,语言表!$F873+4,INDEX($F$2:$L$2,1,$G873+1))</f>
        <v>t_director_option3_1101451</v>
      </c>
      <c r="B873" t="str">
        <f>INDEX(最终表!$A:$Y,语言表!$F873+4,INDEX($F$1:$L$1,1,$G873+1))</f>
        <v/>
      </c>
      <c r="F873">
        <f t="shared" si="26"/>
        <v>74</v>
      </c>
      <c r="G873">
        <f t="shared" si="27"/>
        <v>5</v>
      </c>
    </row>
    <row r="874" spans="1:7" x14ac:dyDescent="0.15">
      <c r="A874" t="str">
        <f>INDEX(最终表!$A:$Y,语言表!$F874+4,INDEX($F$2:$L$2,1,$G874+1))</f>
        <v>t_director_option3_1101500</v>
      </c>
      <c r="B874" t="str">
        <f>INDEX(最终表!$A:$Y,语言表!$F874+4,INDEX($F$1:$L$1,1,$G874+1))</f>
        <v/>
      </c>
      <c r="F874">
        <f t="shared" si="26"/>
        <v>75</v>
      </c>
      <c r="G874">
        <f t="shared" si="27"/>
        <v>5</v>
      </c>
    </row>
    <row r="875" spans="1:7" x14ac:dyDescent="0.15">
      <c r="A875" t="str">
        <f>INDEX(最终表!$A:$Y,语言表!$F875+4,INDEX($F$2:$L$2,1,$G875+1))</f>
        <v>t_director_option3_1101501</v>
      </c>
      <c r="B875" t="str">
        <f>INDEX(最终表!$A:$Y,语言表!$F875+4,INDEX($F$1:$L$1,1,$G875+1))</f>
        <v/>
      </c>
      <c r="F875">
        <f t="shared" si="26"/>
        <v>76</v>
      </c>
      <c r="G875">
        <f t="shared" si="27"/>
        <v>5</v>
      </c>
    </row>
    <row r="876" spans="1:7" x14ac:dyDescent="0.15">
      <c r="A876" t="str">
        <f>INDEX(最终表!$A:$Y,语言表!$F876+4,INDEX($F$2:$L$2,1,$G876+1))</f>
        <v>t_director_option3_1101502</v>
      </c>
      <c r="B876" t="str">
        <f>INDEX(最终表!$A:$Y,语言表!$F876+4,INDEX($F$1:$L$1,1,$G876+1))</f>
        <v/>
      </c>
      <c r="F876">
        <f t="shared" si="26"/>
        <v>77</v>
      </c>
      <c r="G876">
        <f t="shared" si="27"/>
        <v>5</v>
      </c>
    </row>
    <row r="877" spans="1:7" x14ac:dyDescent="0.15">
      <c r="A877" t="str">
        <f>INDEX(最终表!$A:$Y,语言表!$F877+4,INDEX($F$2:$L$2,1,$G877+1))</f>
        <v>t_director_option3_1101600</v>
      </c>
      <c r="B877" t="str">
        <f>INDEX(最终表!$A:$Y,语言表!$F877+4,INDEX($F$1:$L$1,1,$G877+1))</f>
        <v/>
      </c>
      <c r="F877">
        <f t="shared" si="26"/>
        <v>78</v>
      </c>
      <c r="G877">
        <f t="shared" si="27"/>
        <v>5</v>
      </c>
    </row>
    <row r="878" spans="1:7" x14ac:dyDescent="0.15">
      <c r="A878" t="str">
        <f>INDEX(最终表!$A:$Y,语言表!$F878+4,INDEX($F$2:$L$2,1,$G878+1))</f>
        <v>t_director_option3_1101601</v>
      </c>
      <c r="B878" t="str">
        <f>INDEX(最终表!$A:$Y,语言表!$F878+4,INDEX($F$1:$L$1,1,$G878+1))</f>
        <v/>
      </c>
      <c r="F878">
        <f t="shared" si="26"/>
        <v>79</v>
      </c>
      <c r="G878">
        <f t="shared" si="27"/>
        <v>5</v>
      </c>
    </row>
    <row r="879" spans="1:7" x14ac:dyDescent="0.15">
      <c r="A879" t="str">
        <f>INDEX(最终表!$A:$Y,语言表!$F879+4,INDEX($F$2:$L$2,1,$G879+1))</f>
        <v>t_director_option3_1101700</v>
      </c>
      <c r="B879" t="str">
        <f>INDEX(最终表!$A:$Y,语言表!$F879+4,INDEX($F$1:$L$1,1,$G879+1))</f>
        <v/>
      </c>
      <c r="F879">
        <f t="shared" si="26"/>
        <v>80</v>
      </c>
      <c r="G879">
        <f t="shared" si="27"/>
        <v>5</v>
      </c>
    </row>
    <row r="880" spans="1:7" x14ac:dyDescent="0.15">
      <c r="A880" t="str">
        <f>INDEX(最终表!$A:$Y,语言表!$F880+4,INDEX($F$2:$L$2,1,$G880+1))</f>
        <v>t_director_option3_1101701</v>
      </c>
      <c r="B880" t="str">
        <f>INDEX(最终表!$A:$Y,语言表!$F880+4,INDEX($F$1:$L$1,1,$G880+1))</f>
        <v/>
      </c>
      <c r="F880">
        <f t="shared" si="26"/>
        <v>81</v>
      </c>
      <c r="G880">
        <f t="shared" si="27"/>
        <v>5</v>
      </c>
    </row>
    <row r="881" spans="1:7" x14ac:dyDescent="0.15">
      <c r="A881" t="str">
        <f>INDEX(最终表!$A:$Y,语言表!$F881+4,INDEX($F$2:$L$2,1,$G881+1))</f>
        <v>t_director_option3_1101750</v>
      </c>
      <c r="B881" t="str">
        <f>INDEX(最终表!$A:$Y,语言表!$F881+4,INDEX($F$1:$L$1,1,$G881+1))</f>
        <v/>
      </c>
      <c r="F881">
        <f t="shared" si="26"/>
        <v>82</v>
      </c>
      <c r="G881">
        <f t="shared" si="27"/>
        <v>5</v>
      </c>
    </row>
    <row r="882" spans="1:7" x14ac:dyDescent="0.15">
      <c r="A882" t="str">
        <f>INDEX(最终表!$A:$Y,语言表!$F882+4,INDEX($F$2:$L$2,1,$G882+1))</f>
        <v>t_director_option3_1101751</v>
      </c>
      <c r="B882" t="str">
        <f>INDEX(最终表!$A:$Y,语言表!$F882+4,INDEX($F$1:$L$1,1,$G882+1))</f>
        <v/>
      </c>
      <c r="F882">
        <f t="shared" si="26"/>
        <v>83</v>
      </c>
      <c r="G882">
        <f t="shared" si="27"/>
        <v>5</v>
      </c>
    </row>
    <row r="883" spans="1:7" x14ac:dyDescent="0.15">
      <c r="A883" t="str">
        <f>INDEX(最终表!$A:$Y,语言表!$F883+4,INDEX($F$2:$L$2,1,$G883+1))</f>
        <v>t_director_option3_1101800</v>
      </c>
      <c r="B883" t="str">
        <f>INDEX(最终表!$A:$Y,语言表!$F883+4,INDEX($F$1:$L$1,1,$G883+1))</f>
        <v/>
      </c>
      <c r="F883">
        <f t="shared" si="26"/>
        <v>84</v>
      </c>
      <c r="G883">
        <f t="shared" si="27"/>
        <v>5</v>
      </c>
    </row>
    <row r="884" spans="1:7" x14ac:dyDescent="0.15">
      <c r="A884" t="str">
        <f>INDEX(最终表!$A:$Y,语言表!$F884+4,INDEX($F$2:$L$2,1,$G884+1))</f>
        <v>t_director_option3_1101801</v>
      </c>
      <c r="B884" t="str">
        <f>INDEX(最终表!$A:$Y,语言表!$F884+4,INDEX($F$1:$L$1,1,$G884+1))</f>
        <v/>
      </c>
      <c r="F884">
        <f t="shared" si="26"/>
        <v>85</v>
      </c>
      <c r="G884">
        <f t="shared" si="27"/>
        <v>5</v>
      </c>
    </row>
    <row r="885" spans="1:7" x14ac:dyDescent="0.15">
      <c r="A885" t="str">
        <f>INDEX(最终表!$A:$Y,语言表!$F885+4,INDEX($F$2:$L$2,1,$G885+1))</f>
        <v>t_director_option3_1101900</v>
      </c>
      <c r="B885" t="str">
        <f>INDEX(最终表!$A:$Y,语言表!$F885+4,INDEX($F$1:$L$1,1,$G885+1))</f>
        <v/>
      </c>
      <c r="F885">
        <f t="shared" si="26"/>
        <v>86</v>
      </c>
      <c r="G885">
        <f t="shared" si="27"/>
        <v>5</v>
      </c>
    </row>
    <row r="886" spans="1:7" x14ac:dyDescent="0.15">
      <c r="A886" t="str">
        <f>INDEX(最终表!$A:$Y,语言表!$F886+4,INDEX($F$2:$L$2,1,$G886+1))</f>
        <v>t_director_option3_1101901</v>
      </c>
      <c r="B886" t="str">
        <f>INDEX(最终表!$A:$Y,语言表!$F886+4,INDEX($F$1:$L$1,1,$G886+1))</f>
        <v/>
      </c>
      <c r="F886">
        <f t="shared" si="26"/>
        <v>87</v>
      </c>
      <c r="G886">
        <f t="shared" si="27"/>
        <v>5</v>
      </c>
    </row>
    <row r="887" spans="1:7" x14ac:dyDescent="0.15">
      <c r="A887" t="str">
        <f>INDEX(最终表!$A:$Y,语言表!$F887+4,INDEX($F$2:$L$2,1,$G887+1))</f>
        <v>t_director_option3_1102000</v>
      </c>
      <c r="B887" t="str">
        <f>INDEX(最终表!$A:$Y,语言表!$F887+4,INDEX($F$1:$L$1,1,$G887+1))</f>
        <v/>
      </c>
      <c r="F887">
        <f t="shared" si="26"/>
        <v>88</v>
      </c>
      <c r="G887">
        <f t="shared" si="27"/>
        <v>5</v>
      </c>
    </row>
    <row r="888" spans="1:7" x14ac:dyDescent="0.15">
      <c r="A888" t="str">
        <f>INDEX(最终表!$A:$Y,语言表!$F888+4,INDEX($F$2:$L$2,1,$G888+1))</f>
        <v>t_director_option3_1102001</v>
      </c>
      <c r="B888" t="str">
        <f>INDEX(最终表!$A:$Y,语言表!$F888+4,INDEX($F$1:$L$1,1,$G888+1))</f>
        <v/>
      </c>
      <c r="F888">
        <f t="shared" si="26"/>
        <v>89</v>
      </c>
      <c r="G888">
        <f t="shared" si="27"/>
        <v>5</v>
      </c>
    </row>
    <row r="889" spans="1:7" x14ac:dyDescent="0.15">
      <c r="A889" t="str">
        <f>INDEX(最终表!$A:$Y,语言表!$F889+4,INDEX($F$2:$L$2,1,$G889+1))</f>
        <v>t_director_option3_1102002</v>
      </c>
      <c r="B889" t="str">
        <f>INDEX(最终表!$A:$Y,语言表!$F889+4,INDEX($F$1:$L$1,1,$G889+1))</f>
        <v/>
      </c>
      <c r="F889">
        <f t="shared" si="26"/>
        <v>90</v>
      </c>
      <c r="G889">
        <f t="shared" si="27"/>
        <v>5</v>
      </c>
    </row>
    <row r="890" spans="1:7" x14ac:dyDescent="0.15">
      <c r="A890" t="str">
        <f>INDEX(最终表!$A:$Y,语言表!$F890+4,INDEX($F$2:$L$2,1,$G890+1))</f>
        <v>t_director_option3_1102003</v>
      </c>
      <c r="B890" t="str">
        <f>INDEX(最终表!$A:$Y,语言表!$F890+4,INDEX($F$1:$L$1,1,$G890+1))</f>
        <v/>
      </c>
      <c r="F890">
        <f t="shared" si="26"/>
        <v>91</v>
      </c>
      <c r="G890">
        <f t="shared" si="27"/>
        <v>5</v>
      </c>
    </row>
    <row r="891" spans="1:7" x14ac:dyDescent="0.15">
      <c r="A891" t="str">
        <f>INDEX(最终表!$A:$Y,语言表!$F891+4,INDEX($F$2:$L$2,1,$G891+1))</f>
        <v>t_director_option3_1102050</v>
      </c>
      <c r="B891" t="str">
        <f>INDEX(最终表!$A:$Y,语言表!$F891+4,INDEX($F$1:$L$1,1,$G891+1))</f>
        <v/>
      </c>
      <c r="F891">
        <f t="shared" si="26"/>
        <v>92</v>
      </c>
      <c r="G891">
        <f t="shared" si="27"/>
        <v>5</v>
      </c>
    </row>
    <row r="892" spans="1:7" x14ac:dyDescent="0.15">
      <c r="A892" t="str">
        <f>INDEX(最终表!$A:$Y,语言表!$F892+4,INDEX($F$2:$L$2,1,$G892+1))</f>
        <v>t_director_option3_1102051</v>
      </c>
      <c r="B892" t="str">
        <f>INDEX(最终表!$A:$Y,语言表!$F892+4,INDEX($F$1:$L$1,1,$G892+1))</f>
        <v/>
      </c>
      <c r="F892">
        <f t="shared" si="26"/>
        <v>93</v>
      </c>
      <c r="G892">
        <f t="shared" si="27"/>
        <v>5</v>
      </c>
    </row>
    <row r="893" spans="1:7" x14ac:dyDescent="0.15">
      <c r="A893" t="str">
        <f>INDEX(最终表!$A:$Y,语言表!$F893+4,INDEX($F$2:$L$2,1,$G893+1))</f>
        <v>t_director_option3_1102100</v>
      </c>
      <c r="B893" t="str">
        <f>INDEX(最终表!$A:$Y,语言表!$F893+4,INDEX($F$1:$L$1,1,$G893+1))</f>
        <v/>
      </c>
      <c r="F893">
        <f t="shared" si="26"/>
        <v>94</v>
      </c>
      <c r="G893">
        <f t="shared" si="27"/>
        <v>5</v>
      </c>
    </row>
    <row r="894" spans="1:7" x14ac:dyDescent="0.15">
      <c r="A894" t="str">
        <f>INDEX(最终表!$A:$Y,语言表!$F894+4,INDEX($F$2:$L$2,1,$G894+1))</f>
        <v>t_director_option3_1102101</v>
      </c>
      <c r="B894" t="str">
        <f>INDEX(最终表!$A:$Y,语言表!$F894+4,INDEX($F$1:$L$1,1,$G894+1))</f>
        <v/>
      </c>
      <c r="F894">
        <f t="shared" si="26"/>
        <v>95</v>
      </c>
      <c r="G894">
        <f t="shared" si="27"/>
        <v>5</v>
      </c>
    </row>
    <row r="895" spans="1:7" x14ac:dyDescent="0.15">
      <c r="A895" t="str">
        <f>INDEX(最终表!$A:$Y,语言表!$F895+4,INDEX($F$2:$L$2,1,$G895+1))</f>
        <v>t_director_option3_1102102</v>
      </c>
      <c r="B895" t="str">
        <f>INDEX(最终表!$A:$Y,语言表!$F895+4,INDEX($F$1:$L$1,1,$G895+1))</f>
        <v/>
      </c>
      <c r="F895">
        <f t="shared" si="26"/>
        <v>96</v>
      </c>
      <c r="G895">
        <f t="shared" si="27"/>
        <v>5</v>
      </c>
    </row>
    <row r="896" spans="1:7" x14ac:dyDescent="0.15">
      <c r="A896" t="str">
        <f>INDEX(最终表!$A:$Y,语言表!$F896+4,INDEX($F$2:$L$2,1,$G896+1))</f>
        <v>t_director_option3_1102103</v>
      </c>
      <c r="B896" t="str">
        <f>INDEX(最终表!$A:$Y,语言表!$F896+4,INDEX($F$1:$L$1,1,$G896+1))</f>
        <v/>
      </c>
      <c r="F896">
        <f t="shared" si="26"/>
        <v>97</v>
      </c>
      <c r="G896">
        <f t="shared" si="27"/>
        <v>5</v>
      </c>
    </row>
    <row r="897" spans="1:7" x14ac:dyDescent="0.15">
      <c r="A897" t="str">
        <f>INDEX(最终表!$A:$Y,语言表!$F897+4,INDEX($F$2:$L$2,1,$G897+1))</f>
        <v>t_director_option3_1102104</v>
      </c>
      <c r="B897" t="str">
        <f>INDEX(最终表!$A:$Y,语言表!$F897+4,INDEX($F$1:$L$1,1,$G897+1))</f>
        <v/>
      </c>
      <c r="F897">
        <f t="shared" si="26"/>
        <v>98</v>
      </c>
      <c r="G897">
        <f t="shared" si="27"/>
        <v>5</v>
      </c>
    </row>
    <row r="898" spans="1:7" x14ac:dyDescent="0.15">
      <c r="A898" t="str">
        <f>INDEX(最终表!$A:$Y,语言表!$F898+4,INDEX($F$2:$L$2,1,$G898+1))</f>
        <v>t_director_option3_1102105</v>
      </c>
      <c r="B898" t="str">
        <f>INDEX(最终表!$A:$Y,语言表!$F898+4,INDEX($F$1:$L$1,1,$G898+1))</f>
        <v/>
      </c>
      <c r="F898">
        <f t="shared" si="26"/>
        <v>99</v>
      </c>
      <c r="G898">
        <f t="shared" si="27"/>
        <v>5</v>
      </c>
    </row>
    <row r="899" spans="1:7" x14ac:dyDescent="0.15">
      <c r="A899" t="str">
        <f>INDEX(最终表!$A:$Y,语言表!$F899+4,INDEX($F$2:$L$2,1,$G899+1))</f>
        <v>t_director_option3_1102106</v>
      </c>
      <c r="B899" t="str">
        <f>INDEX(最终表!$A:$Y,语言表!$F899+4,INDEX($F$1:$L$1,1,$G899+1))</f>
        <v/>
      </c>
      <c r="F899">
        <f t="shared" si="26"/>
        <v>100</v>
      </c>
      <c r="G899">
        <f t="shared" si="27"/>
        <v>5</v>
      </c>
    </row>
    <row r="900" spans="1:7" x14ac:dyDescent="0.15">
      <c r="A900" t="str">
        <f>INDEX(最终表!$A:$Y,语言表!$F900+4,INDEX($F$2:$L$2,1,$G900+1))</f>
        <v>t_director_option3_1102107</v>
      </c>
      <c r="B900" t="str">
        <f>INDEX(最终表!$A:$Y,语言表!$F900+4,INDEX($F$1:$L$1,1,$G900+1))</f>
        <v/>
      </c>
      <c r="F900">
        <f t="shared" si="26"/>
        <v>101</v>
      </c>
      <c r="G900">
        <f t="shared" si="27"/>
        <v>5</v>
      </c>
    </row>
    <row r="901" spans="1:7" x14ac:dyDescent="0.15">
      <c r="A901" t="str">
        <f>INDEX(最终表!$A:$Y,语言表!$F901+4,INDEX($F$2:$L$2,1,$G901+1))</f>
        <v>t_director_option3_1102200</v>
      </c>
      <c r="B901" t="str">
        <f>INDEX(最终表!$A:$Y,语言表!$F901+4,INDEX($F$1:$L$1,1,$G901+1))</f>
        <v/>
      </c>
      <c r="F901">
        <f t="shared" ref="F901:F954" si="28">MOD(ROW()-4,$N$1-3)</f>
        <v>102</v>
      </c>
      <c r="G901">
        <f t="shared" ref="G901:G954" si="29">INT((ROW()-4)/($N$1-3))</f>
        <v>5</v>
      </c>
    </row>
    <row r="902" spans="1:7" x14ac:dyDescent="0.15">
      <c r="A902" t="str">
        <f>INDEX(最终表!$A:$Y,语言表!$F902+4,INDEX($F$2:$L$2,1,$G902+1))</f>
        <v>t_director_option3_1102201</v>
      </c>
      <c r="B902" t="str">
        <f>INDEX(最终表!$A:$Y,语言表!$F902+4,INDEX($F$1:$L$1,1,$G902+1))</f>
        <v/>
      </c>
      <c r="F902">
        <f t="shared" si="28"/>
        <v>103</v>
      </c>
      <c r="G902">
        <f t="shared" si="29"/>
        <v>5</v>
      </c>
    </row>
    <row r="903" spans="1:7" x14ac:dyDescent="0.15">
      <c r="A903" t="str">
        <f>INDEX(最终表!$A:$Y,语言表!$F903+4,INDEX($F$2:$L$2,1,$G903+1))</f>
        <v>t_director_option3_1102300</v>
      </c>
      <c r="B903" t="str">
        <f>INDEX(最终表!$A:$Y,语言表!$F903+4,INDEX($F$1:$L$1,1,$G903+1))</f>
        <v/>
      </c>
      <c r="F903">
        <f t="shared" si="28"/>
        <v>104</v>
      </c>
      <c r="G903">
        <f t="shared" si="29"/>
        <v>5</v>
      </c>
    </row>
    <row r="904" spans="1:7" x14ac:dyDescent="0.15">
      <c r="A904" t="str">
        <f>INDEX(最终表!$A:$Y,语言表!$F904+4,INDEX($F$2:$L$2,1,$G904+1))</f>
        <v>t_director_option3_1102301</v>
      </c>
      <c r="B904" t="str">
        <f>INDEX(最终表!$A:$Y,语言表!$F904+4,INDEX($F$1:$L$1,1,$G904+1))</f>
        <v/>
      </c>
      <c r="F904">
        <f t="shared" si="28"/>
        <v>105</v>
      </c>
      <c r="G904">
        <f t="shared" si="29"/>
        <v>5</v>
      </c>
    </row>
    <row r="905" spans="1:7" x14ac:dyDescent="0.15">
      <c r="A905" t="str">
        <f>INDEX(最终表!$A:$Y,语言表!$F905+4,INDEX($F$2:$L$2,1,$G905+1))</f>
        <v>t_director_option3_1102302</v>
      </c>
      <c r="B905" t="str">
        <f>INDEX(最终表!$A:$Y,语言表!$F905+4,INDEX($F$1:$L$1,1,$G905+1))</f>
        <v/>
      </c>
      <c r="F905">
        <f t="shared" si="28"/>
        <v>106</v>
      </c>
      <c r="G905">
        <f t="shared" si="29"/>
        <v>5</v>
      </c>
    </row>
    <row r="906" spans="1:7" x14ac:dyDescent="0.15">
      <c r="A906" t="str">
        <f>INDEX(最终表!$A:$Y,语言表!$F906+4,INDEX($F$2:$L$2,1,$G906+1))</f>
        <v>t_director_option3_1102310</v>
      </c>
      <c r="B906" t="str">
        <f>INDEX(最终表!$A:$Y,语言表!$F906+4,INDEX($F$1:$L$1,1,$G906+1))</f>
        <v/>
      </c>
      <c r="F906">
        <f t="shared" si="28"/>
        <v>107</v>
      </c>
      <c r="G906">
        <f t="shared" si="29"/>
        <v>5</v>
      </c>
    </row>
    <row r="907" spans="1:7" x14ac:dyDescent="0.15">
      <c r="A907" t="str">
        <f>INDEX(最终表!$A:$Y,语言表!$F907+4,INDEX($F$2:$L$2,1,$G907+1))</f>
        <v>t_director_option3_1102311</v>
      </c>
      <c r="B907" t="str">
        <f>INDEX(最终表!$A:$Y,语言表!$F907+4,INDEX($F$1:$L$1,1,$G907+1))</f>
        <v/>
      </c>
      <c r="F907">
        <f t="shared" si="28"/>
        <v>108</v>
      </c>
      <c r="G907">
        <f t="shared" si="29"/>
        <v>5</v>
      </c>
    </row>
    <row r="908" spans="1:7" x14ac:dyDescent="0.15">
      <c r="A908" t="str">
        <f>INDEX(最终表!$A:$Y,语言表!$F908+4,INDEX($F$2:$L$2,1,$G908+1))</f>
        <v>t_director_option3_1102312</v>
      </c>
      <c r="B908" t="str">
        <f>INDEX(最终表!$A:$Y,语言表!$F908+4,INDEX($F$1:$L$1,1,$G908+1))</f>
        <v/>
      </c>
      <c r="F908">
        <f t="shared" si="28"/>
        <v>109</v>
      </c>
      <c r="G908">
        <f t="shared" si="29"/>
        <v>5</v>
      </c>
    </row>
    <row r="909" spans="1:7" x14ac:dyDescent="0.15">
      <c r="A909" t="str">
        <f>INDEX(最终表!$A:$Y,语言表!$F909+4,INDEX($F$2:$L$2,1,$G909+1))</f>
        <v>t_director_option3_1102350</v>
      </c>
      <c r="B909" t="str">
        <f>INDEX(最终表!$A:$Y,语言表!$F909+4,INDEX($F$1:$L$1,1,$G909+1))</f>
        <v/>
      </c>
      <c r="F909">
        <f t="shared" si="28"/>
        <v>110</v>
      </c>
      <c r="G909">
        <f t="shared" si="29"/>
        <v>5</v>
      </c>
    </row>
    <row r="910" spans="1:7" x14ac:dyDescent="0.15">
      <c r="A910" t="str">
        <f>INDEX(最终表!$A:$Y,语言表!$F910+4,INDEX($F$2:$L$2,1,$G910+1))</f>
        <v>t_director_option3_1102351</v>
      </c>
      <c r="B910" t="str">
        <f>INDEX(最终表!$A:$Y,语言表!$F910+4,INDEX($F$1:$L$1,1,$G910+1))</f>
        <v/>
      </c>
      <c r="F910">
        <f t="shared" si="28"/>
        <v>111</v>
      </c>
      <c r="G910">
        <f t="shared" si="29"/>
        <v>5</v>
      </c>
    </row>
    <row r="911" spans="1:7" x14ac:dyDescent="0.15">
      <c r="A911" t="str">
        <f>INDEX(最终表!$A:$Y,语言表!$F911+4,INDEX($F$2:$L$2,1,$G911+1))</f>
        <v>t_director_option3_1102352</v>
      </c>
      <c r="B911" t="str">
        <f>INDEX(最终表!$A:$Y,语言表!$F911+4,INDEX($F$1:$L$1,1,$G911+1))</f>
        <v/>
      </c>
      <c r="F911">
        <f t="shared" si="28"/>
        <v>112</v>
      </c>
      <c r="G911">
        <f t="shared" si="29"/>
        <v>5</v>
      </c>
    </row>
    <row r="912" spans="1:7" x14ac:dyDescent="0.15">
      <c r="A912" t="str">
        <f>INDEX(最终表!$A:$Y,语言表!$F912+4,INDEX($F$2:$L$2,1,$G912+1))</f>
        <v>t_director_option3_1102400</v>
      </c>
      <c r="B912" t="str">
        <f>INDEX(最终表!$A:$Y,语言表!$F912+4,INDEX($F$1:$L$1,1,$G912+1))</f>
        <v/>
      </c>
      <c r="F912">
        <f t="shared" si="28"/>
        <v>113</v>
      </c>
      <c r="G912">
        <f t="shared" si="29"/>
        <v>5</v>
      </c>
    </row>
    <row r="913" spans="1:7" x14ac:dyDescent="0.15">
      <c r="A913" t="str">
        <f>INDEX(最终表!$A:$Y,语言表!$F913+4,INDEX($F$2:$L$2,1,$G913+1))</f>
        <v>t_director_option3_1102401</v>
      </c>
      <c r="B913" t="str">
        <f>INDEX(最终表!$A:$Y,语言表!$F913+4,INDEX($F$1:$L$1,1,$G913+1))</f>
        <v/>
      </c>
      <c r="F913">
        <f t="shared" si="28"/>
        <v>114</v>
      </c>
      <c r="G913">
        <f t="shared" si="29"/>
        <v>5</v>
      </c>
    </row>
    <row r="914" spans="1:7" x14ac:dyDescent="0.15">
      <c r="A914" t="str">
        <f>INDEX(最终表!$A:$Y,语言表!$F914+4,INDEX($F$2:$L$2,1,$G914+1))</f>
        <v>t_director_option3_1102410</v>
      </c>
      <c r="B914" t="str">
        <f>INDEX(最终表!$A:$Y,语言表!$F914+4,INDEX($F$1:$L$1,1,$G914+1))</f>
        <v/>
      </c>
      <c r="F914">
        <f t="shared" si="28"/>
        <v>115</v>
      </c>
      <c r="G914">
        <f t="shared" si="29"/>
        <v>5</v>
      </c>
    </row>
    <row r="915" spans="1:7" x14ac:dyDescent="0.15">
      <c r="A915" t="str">
        <f>INDEX(最终表!$A:$Y,语言表!$F915+4,INDEX($F$2:$L$2,1,$G915+1))</f>
        <v>t_director_option3_1102411</v>
      </c>
      <c r="B915" t="str">
        <f>INDEX(最终表!$A:$Y,语言表!$F915+4,INDEX($F$1:$L$1,1,$G915+1))</f>
        <v/>
      </c>
      <c r="F915">
        <f t="shared" si="28"/>
        <v>116</v>
      </c>
      <c r="G915">
        <f t="shared" si="29"/>
        <v>5</v>
      </c>
    </row>
    <row r="916" spans="1:7" x14ac:dyDescent="0.15">
      <c r="A916" t="str">
        <f>INDEX(最终表!$A:$Y,语言表!$F916+4,INDEX($F$2:$L$2,1,$G916+1))</f>
        <v>t_director_option3_1102450</v>
      </c>
      <c r="B916" t="str">
        <f>INDEX(最终表!$A:$Y,语言表!$F916+4,INDEX($F$1:$L$1,1,$G916+1))</f>
        <v/>
      </c>
      <c r="F916">
        <f t="shared" si="28"/>
        <v>117</v>
      </c>
      <c r="G916">
        <f t="shared" si="29"/>
        <v>5</v>
      </c>
    </row>
    <row r="917" spans="1:7" x14ac:dyDescent="0.15">
      <c r="A917" t="str">
        <f>INDEX(最终表!$A:$Y,语言表!$F917+4,INDEX($F$2:$L$2,1,$G917+1))</f>
        <v>t_director_option3_1102451</v>
      </c>
      <c r="B917" t="str">
        <f>INDEX(最终表!$A:$Y,语言表!$F917+4,INDEX($F$1:$L$1,1,$G917+1))</f>
        <v/>
      </c>
      <c r="F917">
        <f t="shared" si="28"/>
        <v>118</v>
      </c>
      <c r="G917">
        <f t="shared" si="29"/>
        <v>5</v>
      </c>
    </row>
    <row r="918" spans="1:7" x14ac:dyDescent="0.15">
      <c r="A918" t="str">
        <f>INDEX(最终表!$A:$Y,语言表!$F918+4,INDEX($F$2:$L$2,1,$G918+1))</f>
        <v>t_director_option3_1102480</v>
      </c>
      <c r="B918" t="str">
        <f>INDEX(最终表!$A:$Y,语言表!$F918+4,INDEX($F$1:$L$1,1,$G918+1))</f>
        <v/>
      </c>
      <c r="F918">
        <f t="shared" si="28"/>
        <v>119</v>
      </c>
      <c r="G918">
        <f t="shared" si="29"/>
        <v>5</v>
      </c>
    </row>
    <row r="919" spans="1:7" x14ac:dyDescent="0.15">
      <c r="A919" t="str">
        <f>INDEX(最终表!$A:$Y,语言表!$F919+4,INDEX($F$2:$L$2,1,$G919+1))</f>
        <v>t_director_option3_1102481</v>
      </c>
      <c r="B919" t="str">
        <f>INDEX(最终表!$A:$Y,语言表!$F919+4,INDEX($F$1:$L$1,1,$G919+1))</f>
        <v/>
      </c>
      <c r="F919">
        <f t="shared" si="28"/>
        <v>120</v>
      </c>
      <c r="G919">
        <f t="shared" si="29"/>
        <v>5</v>
      </c>
    </row>
    <row r="920" spans="1:7" x14ac:dyDescent="0.15">
      <c r="A920" t="str">
        <f>INDEX(最终表!$A:$Y,语言表!$F920+4,INDEX($F$2:$L$2,1,$G920+1))</f>
        <v>t_director_option3_1102482</v>
      </c>
      <c r="B920" t="str">
        <f>INDEX(最终表!$A:$Y,语言表!$F920+4,INDEX($F$1:$L$1,1,$G920+1))</f>
        <v/>
      </c>
      <c r="F920">
        <f t="shared" si="28"/>
        <v>121</v>
      </c>
      <c r="G920">
        <f t="shared" si="29"/>
        <v>5</v>
      </c>
    </row>
    <row r="921" spans="1:7" x14ac:dyDescent="0.15">
      <c r="A921" t="str">
        <f>INDEX(最终表!$A:$Y,语言表!$F921+4,INDEX($F$2:$L$2,1,$G921+1))</f>
        <v>t_director_option3_1102483</v>
      </c>
      <c r="B921" t="str">
        <f>INDEX(最终表!$A:$Y,语言表!$F921+4,INDEX($F$1:$L$1,1,$G921+1))</f>
        <v/>
      </c>
      <c r="F921">
        <f t="shared" si="28"/>
        <v>122</v>
      </c>
      <c r="G921">
        <f t="shared" si="29"/>
        <v>5</v>
      </c>
    </row>
    <row r="922" spans="1:7" x14ac:dyDescent="0.15">
      <c r="A922" t="str">
        <f>INDEX(最终表!$A:$Y,语言表!$F922+4,INDEX($F$2:$L$2,1,$G922+1))</f>
        <v>t_director_option3_1102484</v>
      </c>
      <c r="B922" t="str">
        <f>INDEX(最终表!$A:$Y,语言表!$F922+4,INDEX($F$1:$L$1,1,$G922+1))</f>
        <v/>
      </c>
      <c r="F922">
        <f t="shared" si="28"/>
        <v>123</v>
      </c>
      <c r="G922">
        <f t="shared" si="29"/>
        <v>5</v>
      </c>
    </row>
    <row r="923" spans="1:7" x14ac:dyDescent="0.15">
      <c r="A923" t="str">
        <f>INDEX(最终表!$A:$Y,语言表!$F923+4,INDEX($F$2:$L$2,1,$G923+1))</f>
        <v>t_director_option3_1102500</v>
      </c>
      <c r="B923" t="str">
        <f>INDEX(最终表!$A:$Y,语言表!$F923+4,INDEX($F$1:$L$1,1,$G923+1))</f>
        <v/>
      </c>
      <c r="F923">
        <f t="shared" si="28"/>
        <v>124</v>
      </c>
      <c r="G923">
        <f t="shared" si="29"/>
        <v>5</v>
      </c>
    </row>
    <row r="924" spans="1:7" x14ac:dyDescent="0.15">
      <c r="A924" t="str">
        <f>INDEX(最终表!$A:$Y,语言表!$F924+4,INDEX($F$2:$L$2,1,$G924+1))</f>
        <v>t_director_option3_1102501</v>
      </c>
      <c r="B924" t="str">
        <f>INDEX(最终表!$A:$Y,语言表!$F924+4,INDEX($F$1:$L$1,1,$G924+1))</f>
        <v/>
      </c>
      <c r="F924">
        <f t="shared" si="28"/>
        <v>125</v>
      </c>
      <c r="G924">
        <f t="shared" si="29"/>
        <v>5</v>
      </c>
    </row>
    <row r="925" spans="1:7" x14ac:dyDescent="0.15">
      <c r="A925" t="str">
        <f>INDEX(最终表!$A:$Y,语言表!$F925+4,INDEX($F$2:$L$2,1,$G925+1))</f>
        <v>t_director_option3_1102600</v>
      </c>
      <c r="B925" t="str">
        <f>INDEX(最终表!$A:$Y,语言表!$F925+4,INDEX($F$1:$L$1,1,$G925+1))</f>
        <v/>
      </c>
      <c r="F925">
        <f t="shared" si="28"/>
        <v>126</v>
      </c>
      <c r="G925">
        <f t="shared" si="29"/>
        <v>5</v>
      </c>
    </row>
    <row r="926" spans="1:7" x14ac:dyDescent="0.15">
      <c r="A926" t="str">
        <f>INDEX(最终表!$A:$Y,语言表!$F926+4,INDEX($F$2:$L$2,1,$G926+1))</f>
        <v>t_director_option3_1102650</v>
      </c>
      <c r="B926" t="str">
        <f>INDEX(最终表!$A:$Y,语言表!$F926+4,INDEX($F$1:$L$1,1,$G926+1))</f>
        <v/>
      </c>
      <c r="F926">
        <f t="shared" si="28"/>
        <v>127</v>
      </c>
      <c r="G926">
        <f t="shared" si="29"/>
        <v>5</v>
      </c>
    </row>
    <row r="927" spans="1:7" x14ac:dyDescent="0.15">
      <c r="A927" t="str">
        <f>INDEX(最终表!$A:$Y,语言表!$F927+4,INDEX($F$2:$L$2,1,$G927+1))</f>
        <v>t_director_option3_1102651</v>
      </c>
      <c r="B927" t="str">
        <f>INDEX(最终表!$A:$Y,语言表!$F927+4,INDEX($F$1:$L$1,1,$G927+1))</f>
        <v/>
      </c>
      <c r="F927">
        <f t="shared" si="28"/>
        <v>128</v>
      </c>
      <c r="G927">
        <f t="shared" si="29"/>
        <v>5</v>
      </c>
    </row>
    <row r="928" spans="1:7" x14ac:dyDescent="0.15">
      <c r="A928" t="str">
        <f>INDEX(最终表!$A:$Y,语言表!$F928+4,INDEX($F$2:$L$2,1,$G928+1))</f>
        <v>t_director_option3_1102652</v>
      </c>
      <c r="B928" t="str">
        <f>INDEX(最终表!$A:$Y,语言表!$F928+4,INDEX($F$1:$L$1,1,$G928+1))</f>
        <v/>
      </c>
      <c r="F928">
        <f t="shared" si="28"/>
        <v>129</v>
      </c>
      <c r="G928">
        <f t="shared" si="29"/>
        <v>5</v>
      </c>
    </row>
    <row r="929" spans="1:7" x14ac:dyDescent="0.15">
      <c r="A929" t="str">
        <f>INDEX(最终表!$A:$Y,语言表!$F929+4,INDEX($F$2:$L$2,1,$G929+1))</f>
        <v>t_director_option3_1102700</v>
      </c>
      <c r="B929" t="str">
        <f>INDEX(最终表!$A:$Y,语言表!$F929+4,INDEX($F$1:$L$1,1,$G929+1))</f>
        <v/>
      </c>
      <c r="F929">
        <f t="shared" si="28"/>
        <v>130</v>
      </c>
      <c r="G929">
        <f t="shared" si="29"/>
        <v>5</v>
      </c>
    </row>
    <row r="930" spans="1:7" x14ac:dyDescent="0.15">
      <c r="A930" t="str">
        <f>INDEX(最终表!$A:$Y,语言表!$F930+4,INDEX($F$2:$L$2,1,$G930+1))</f>
        <v>t_director_option3_1102701</v>
      </c>
      <c r="B930" t="str">
        <f>INDEX(最终表!$A:$Y,语言表!$F930+4,INDEX($F$1:$L$1,1,$G930+1))</f>
        <v/>
      </c>
      <c r="F930">
        <f t="shared" si="28"/>
        <v>131</v>
      </c>
      <c r="G930">
        <f t="shared" si="29"/>
        <v>5</v>
      </c>
    </row>
    <row r="931" spans="1:7" x14ac:dyDescent="0.15">
      <c r="A931" t="str">
        <f>INDEX(最终表!$A:$Y,语言表!$F931+4,INDEX($F$2:$L$2,1,$G931+1))</f>
        <v>t_director_option3_1102800</v>
      </c>
      <c r="B931" t="str">
        <f>INDEX(最终表!$A:$Y,语言表!$F931+4,INDEX($F$1:$L$1,1,$G931+1))</f>
        <v/>
      </c>
      <c r="F931">
        <f t="shared" si="28"/>
        <v>132</v>
      </c>
      <c r="G931">
        <f t="shared" si="29"/>
        <v>5</v>
      </c>
    </row>
    <row r="932" spans="1:7" x14ac:dyDescent="0.15">
      <c r="A932" t="str">
        <f>INDEX(最终表!$A:$Y,语言表!$F932+4,INDEX($F$2:$L$2,1,$G932+1))</f>
        <v>t_director_option3_1102801</v>
      </c>
      <c r="B932" t="str">
        <f>INDEX(最终表!$A:$Y,语言表!$F932+4,INDEX($F$1:$L$1,1,$G932+1))</f>
        <v/>
      </c>
      <c r="F932">
        <f t="shared" si="28"/>
        <v>133</v>
      </c>
      <c r="G932">
        <f t="shared" si="29"/>
        <v>5</v>
      </c>
    </row>
    <row r="933" spans="1:7" x14ac:dyDescent="0.15">
      <c r="A933" t="str">
        <f>INDEX(最终表!$A:$Y,语言表!$F933+4,INDEX($F$2:$L$2,1,$G933+1))</f>
        <v>t_director_option3_1102802</v>
      </c>
      <c r="B933" t="str">
        <f>INDEX(最终表!$A:$Y,语言表!$F933+4,INDEX($F$1:$L$1,1,$G933+1))</f>
        <v/>
      </c>
      <c r="F933">
        <f t="shared" si="28"/>
        <v>134</v>
      </c>
      <c r="G933">
        <f t="shared" si="29"/>
        <v>5</v>
      </c>
    </row>
    <row r="934" spans="1:7" x14ac:dyDescent="0.15">
      <c r="A934" t="str">
        <f>INDEX(最终表!$A:$Y,语言表!$F934+4,INDEX($F$2:$L$2,1,$G934+1))</f>
        <v>t_director_option3_1102803</v>
      </c>
      <c r="B934" t="str">
        <f>INDEX(最终表!$A:$Y,语言表!$F934+4,INDEX($F$1:$L$1,1,$G934+1))</f>
        <v/>
      </c>
      <c r="F934">
        <f t="shared" si="28"/>
        <v>135</v>
      </c>
      <c r="G934">
        <f t="shared" si="29"/>
        <v>5</v>
      </c>
    </row>
    <row r="935" spans="1:7" x14ac:dyDescent="0.15">
      <c r="A935" t="str">
        <f>INDEX(最终表!$A:$Y,语言表!$F935+4,INDEX($F$2:$L$2,1,$G935+1))</f>
        <v>t_director_option3_1102804</v>
      </c>
      <c r="B935" t="str">
        <f>INDEX(最终表!$A:$Y,语言表!$F935+4,INDEX($F$1:$L$1,1,$G935+1))</f>
        <v/>
      </c>
      <c r="F935">
        <f t="shared" si="28"/>
        <v>136</v>
      </c>
      <c r="G935">
        <f t="shared" si="29"/>
        <v>5</v>
      </c>
    </row>
    <row r="936" spans="1:7" x14ac:dyDescent="0.15">
      <c r="A936" t="str">
        <f>INDEX(最终表!$A:$Y,语言表!$F936+4,INDEX($F$2:$L$2,1,$G936+1))</f>
        <v>t_director_option3_1102805</v>
      </c>
      <c r="B936" t="str">
        <f>INDEX(最终表!$A:$Y,语言表!$F936+4,INDEX($F$1:$L$1,1,$G936+1))</f>
        <v/>
      </c>
      <c r="F936">
        <f t="shared" si="28"/>
        <v>137</v>
      </c>
      <c r="G936">
        <f t="shared" si="29"/>
        <v>5</v>
      </c>
    </row>
    <row r="937" spans="1:7" x14ac:dyDescent="0.15">
      <c r="A937" t="str">
        <f>INDEX(最终表!$A:$Y,语言表!$F937+4,INDEX($F$2:$L$2,1,$G937+1))</f>
        <v>t_director_option3_1102900</v>
      </c>
      <c r="B937" t="str">
        <f>INDEX(最终表!$A:$Y,语言表!$F937+4,INDEX($F$1:$L$1,1,$G937+1))</f>
        <v/>
      </c>
      <c r="F937">
        <f t="shared" si="28"/>
        <v>138</v>
      </c>
      <c r="G937">
        <f t="shared" si="29"/>
        <v>5</v>
      </c>
    </row>
    <row r="938" spans="1:7" x14ac:dyDescent="0.15">
      <c r="A938" t="str">
        <f>INDEX(最终表!$A:$Y,语言表!$F938+4,INDEX($F$2:$L$2,1,$G938+1))</f>
        <v>t_director_option3_1102901</v>
      </c>
      <c r="B938" t="str">
        <f>INDEX(最终表!$A:$Y,语言表!$F938+4,INDEX($F$1:$L$1,1,$G938+1))</f>
        <v/>
      </c>
      <c r="F938">
        <f t="shared" si="28"/>
        <v>139</v>
      </c>
      <c r="G938">
        <f t="shared" si="29"/>
        <v>5</v>
      </c>
    </row>
    <row r="939" spans="1:7" x14ac:dyDescent="0.15">
      <c r="A939" t="str">
        <f>INDEX(最终表!$A:$Y,语言表!$F939+4,INDEX($F$2:$L$2,1,$G939+1))</f>
        <v>t_director_option3_1103000</v>
      </c>
      <c r="B939" t="str">
        <f>INDEX(最终表!$A:$Y,语言表!$F939+4,INDEX($F$1:$L$1,1,$G939+1))</f>
        <v/>
      </c>
      <c r="F939">
        <f t="shared" si="28"/>
        <v>140</v>
      </c>
      <c r="G939">
        <f t="shared" si="29"/>
        <v>5</v>
      </c>
    </row>
    <row r="940" spans="1:7" x14ac:dyDescent="0.15">
      <c r="A940" t="str">
        <f>INDEX(最终表!$A:$Y,语言表!$F940+4,INDEX($F$2:$L$2,1,$G940+1))</f>
        <v>t_director_option3_1103001</v>
      </c>
      <c r="B940" t="str">
        <f>INDEX(最终表!$A:$Y,语言表!$F940+4,INDEX($F$1:$L$1,1,$G940+1))</f>
        <v/>
      </c>
      <c r="F940">
        <f t="shared" si="28"/>
        <v>141</v>
      </c>
      <c r="G940">
        <f t="shared" si="29"/>
        <v>5</v>
      </c>
    </row>
    <row r="941" spans="1:7" x14ac:dyDescent="0.15">
      <c r="A941" t="str">
        <f>INDEX(最终表!$A:$Y,语言表!$F941+4,INDEX($F$2:$L$2,1,$G941+1))</f>
        <v>t_director_option3_1103002</v>
      </c>
      <c r="B941" t="str">
        <f>INDEX(最终表!$A:$Y,语言表!$F941+4,INDEX($F$1:$L$1,1,$G941+1))</f>
        <v/>
      </c>
      <c r="F941">
        <f t="shared" si="28"/>
        <v>142</v>
      </c>
      <c r="G941">
        <f t="shared" si="29"/>
        <v>5</v>
      </c>
    </row>
    <row r="942" spans="1:7" x14ac:dyDescent="0.15">
      <c r="A942" t="str">
        <f>INDEX(最终表!$A:$Y,语言表!$F942+4,INDEX($F$2:$L$2,1,$G942+1))</f>
        <v>t_director_option3_1103003</v>
      </c>
      <c r="B942" t="str">
        <f>INDEX(最终表!$A:$Y,语言表!$F942+4,INDEX($F$1:$L$1,1,$G942+1))</f>
        <v/>
      </c>
      <c r="F942">
        <f t="shared" si="28"/>
        <v>143</v>
      </c>
      <c r="G942">
        <f t="shared" si="29"/>
        <v>5</v>
      </c>
    </row>
    <row r="943" spans="1:7" x14ac:dyDescent="0.15">
      <c r="A943" t="str">
        <f>INDEX(最终表!$A:$Y,语言表!$F943+4,INDEX($F$2:$L$2,1,$G943+1))</f>
        <v>t_director_option3_1103100</v>
      </c>
      <c r="B943" t="str">
        <f>INDEX(最终表!$A:$Y,语言表!$F943+4,INDEX($F$1:$L$1,1,$G943+1))</f>
        <v/>
      </c>
      <c r="F943">
        <f t="shared" si="28"/>
        <v>144</v>
      </c>
      <c r="G943">
        <f t="shared" si="29"/>
        <v>5</v>
      </c>
    </row>
    <row r="944" spans="1:7" x14ac:dyDescent="0.15">
      <c r="A944" t="str">
        <f>INDEX(最终表!$A:$Y,语言表!$F944+4,INDEX($F$2:$L$2,1,$G944+1))</f>
        <v>t_director_option3_1103101</v>
      </c>
      <c r="B944" t="str">
        <f>INDEX(最终表!$A:$Y,语言表!$F944+4,INDEX($F$1:$L$1,1,$G944+1))</f>
        <v/>
      </c>
      <c r="F944">
        <f t="shared" si="28"/>
        <v>145</v>
      </c>
      <c r="G944">
        <f t="shared" si="29"/>
        <v>5</v>
      </c>
    </row>
    <row r="945" spans="1:7" x14ac:dyDescent="0.15">
      <c r="A945" t="str">
        <f>INDEX(最终表!$A:$Y,语言表!$F945+4,INDEX($F$2:$L$2,1,$G945+1))</f>
        <v>t_director_option3_1103200</v>
      </c>
      <c r="B945" t="str">
        <f>INDEX(最终表!$A:$Y,语言表!$F945+4,INDEX($F$1:$L$1,1,$G945+1))</f>
        <v/>
      </c>
      <c r="F945">
        <f t="shared" si="28"/>
        <v>146</v>
      </c>
      <c r="G945">
        <f t="shared" si="29"/>
        <v>5</v>
      </c>
    </row>
    <row r="946" spans="1:7" x14ac:dyDescent="0.15">
      <c r="A946" t="str">
        <f>INDEX(最终表!$A:$Y,语言表!$F946+4,INDEX($F$2:$L$2,1,$G946+1))</f>
        <v>t_director_option3_1103201</v>
      </c>
      <c r="B946" t="str">
        <f>INDEX(最终表!$A:$Y,语言表!$F946+4,INDEX($F$1:$L$1,1,$G946+1))</f>
        <v/>
      </c>
      <c r="F946">
        <f t="shared" si="28"/>
        <v>147</v>
      </c>
      <c r="G946">
        <f t="shared" si="29"/>
        <v>5</v>
      </c>
    </row>
    <row r="947" spans="1:7" x14ac:dyDescent="0.15">
      <c r="A947" t="str">
        <f>INDEX(最终表!$A:$Y,语言表!$F947+4,INDEX($F$2:$L$2,1,$G947+1))</f>
        <v>t_director_option3_1200100</v>
      </c>
      <c r="B947" t="str">
        <f>INDEX(最终表!$A:$Y,语言表!$F947+4,INDEX($F$1:$L$1,1,$G947+1))</f>
        <v/>
      </c>
      <c r="F947">
        <f t="shared" si="28"/>
        <v>148</v>
      </c>
      <c r="G947">
        <f t="shared" si="29"/>
        <v>5</v>
      </c>
    </row>
    <row r="948" spans="1:7" x14ac:dyDescent="0.15">
      <c r="A948" t="str">
        <f>INDEX(最终表!$A:$Y,语言表!$F948+4,INDEX($F$2:$L$2,1,$G948+1))</f>
        <v>t_director_option3_1200200</v>
      </c>
      <c r="B948" t="str">
        <f>INDEX(最终表!$A:$Y,语言表!$F948+4,INDEX($F$1:$L$1,1,$G948+1))</f>
        <v/>
      </c>
      <c r="F948">
        <f t="shared" si="28"/>
        <v>149</v>
      </c>
      <c r="G948">
        <f t="shared" si="29"/>
        <v>5</v>
      </c>
    </row>
    <row r="949" spans="1:7" x14ac:dyDescent="0.15">
      <c r="A949" t="str">
        <f>INDEX(最终表!$A:$Y,语言表!$F949+4,INDEX($F$2:$L$2,1,$G949+1))</f>
        <v>t_director_option3_1200300</v>
      </c>
      <c r="B949" t="str">
        <f>INDEX(最终表!$A:$Y,语言表!$F949+4,INDEX($F$1:$L$1,1,$G949+1))</f>
        <v/>
      </c>
      <c r="F949">
        <f t="shared" si="28"/>
        <v>150</v>
      </c>
      <c r="G949">
        <f t="shared" si="29"/>
        <v>5</v>
      </c>
    </row>
    <row r="950" spans="1:7" x14ac:dyDescent="0.15">
      <c r="A950" t="str">
        <f>INDEX(最终表!$A:$Y,语言表!$F950+4,INDEX($F$2:$L$2,1,$G950+1))</f>
        <v>t_director_option3_1200400</v>
      </c>
      <c r="B950" t="str">
        <f>INDEX(最终表!$A:$Y,语言表!$F950+4,INDEX($F$1:$L$1,1,$G950+1))</f>
        <v/>
      </c>
      <c r="F950">
        <f t="shared" si="28"/>
        <v>151</v>
      </c>
      <c r="G950">
        <f t="shared" si="29"/>
        <v>5</v>
      </c>
    </row>
    <row r="951" spans="1:7" x14ac:dyDescent="0.15">
      <c r="A951" t="str">
        <f>INDEX(最终表!$A:$Y,语言表!$F951+4,INDEX($F$2:$L$2,1,$G951+1))</f>
        <v>t_director_option3_2000000</v>
      </c>
      <c r="B951" t="str">
        <f>INDEX(最终表!$A:$Y,语言表!$F951+4,INDEX($F$1:$L$1,1,$G951+1))</f>
        <v/>
      </c>
      <c r="F951">
        <f t="shared" si="28"/>
        <v>152</v>
      </c>
      <c r="G951">
        <f t="shared" si="29"/>
        <v>5</v>
      </c>
    </row>
    <row r="952" spans="1:7" x14ac:dyDescent="0.15">
      <c r="A952" t="str">
        <f>INDEX(最终表!$A:$Y,语言表!$F952+4,INDEX($F$2:$L$2,1,$G952+1))</f>
        <v>t_director_option3_2000001</v>
      </c>
      <c r="B952" t="str">
        <f>INDEX(最终表!$A:$Y,语言表!$F952+4,INDEX($F$1:$L$1,1,$G952+1))</f>
        <v/>
      </c>
      <c r="F952">
        <f t="shared" si="28"/>
        <v>153</v>
      </c>
      <c r="G952">
        <f t="shared" si="29"/>
        <v>5</v>
      </c>
    </row>
    <row r="953" spans="1:7" x14ac:dyDescent="0.15">
      <c r="A953" t="str">
        <f>INDEX(最终表!$A:$Y,语言表!$F953+4,INDEX($F$2:$L$2,1,$G953+1))</f>
        <v>t_director_option3_2000002</v>
      </c>
      <c r="B953" t="str">
        <f>INDEX(最终表!$A:$Y,语言表!$F953+4,INDEX($F$1:$L$1,1,$G953+1))</f>
        <v/>
      </c>
      <c r="F953">
        <f t="shared" si="28"/>
        <v>154</v>
      </c>
      <c r="G953">
        <f t="shared" si="29"/>
        <v>5</v>
      </c>
    </row>
    <row r="954" spans="1:7" x14ac:dyDescent="0.15">
      <c r="A954" t="str">
        <f>INDEX(最终表!$A:$Y,语言表!$F954+4,INDEX($F$2:$L$2,1,$G954+1))</f>
        <v>t_director_option3_2000003</v>
      </c>
      <c r="B954" t="str">
        <f>INDEX(最终表!$A:$Y,语言表!$F954+4,INDEX($F$1:$L$1,1,$G954+1))</f>
        <v/>
      </c>
      <c r="F954">
        <f t="shared" si="28"/>
        <v>155</v>
      </c>
      <c r="G954">
        <f t="shared" si="29"/>
        <v>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策划表</vt:lpstr>
      <vt:lpstr>最终表</vt:lpstr>
      <vt:lpstr>语言表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yymoon</dc:creator>
  <cp:lastModifiedBy>yymoon</cp:lastModifiedBy>
  <dcterms:created xsi:type="dcterms:W3CDTF">2006-09-16T00:00:00Z</dcterms:created>
  <dcterms:modified xsi:type="dcterms:W3CDTF">2019-08-05T06:38:51Z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2052-11.1.0.8907</vt:lpwstr>
  </property>
</Properties>
</file>